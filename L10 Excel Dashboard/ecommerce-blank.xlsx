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Sunless\Desktop\Codes\Excel\L10 Excel Dashboard\"/>
    </mc:Choice>
  </mc:AlternateContent>
  <xr:revisionPtr revIDLastSave="0" documentId="13_ncr:1_{43C308B7-0DD4-485C-A980-D67FFFBC9678}" xr6:coauthVersionLast="47" xr6:coauthVersionMax="47" xr10:uidLastSave="{00000000-0000-0000-0000-000000000000}"/>
  <bookViews>
    <workbookView xWindow="-108" yWindow="-108" windowWidth="23256" windowHeight="13176" activeTab="1" xr2:uid="{346724B3-1C49-40AE-AA36-C77CF5D6DD09}"/>
  </bookViews>
  <sheets>
    <sheet name="Data" sheetId="1" r:id="rId1"/>
    <sheet name="Dashboard" sheetId="3" r:id="rId2"/>
    <sheet name="Questions &amp; KPIs" sheetId="2" r:id="rId3"/>
    <sheet name="Pivots" sheetId="5" r:id="rId4"/>
    <sheet name="Sheet3" sheetId="7" r:id="rId5"/>
    <sheet name="Sheet4" sheetId="8" r:id="rId6"/>
    <sheet name="Sheet5" sheetId="9" r:id="rId7"/>
    <sheet name="Sheet6" sheetId="10" r:id="rId8"/>
    <sheet name="Sheet7" sheetId="11" r:id="rId9"/>
  </sheets>
  <definedNames>
    <definedName name="_xlchart.v5.0" hidden="1">Sheet6!$K$4:$L$4</definedName>
    <definedName name="_xlchart.v5.1" hidden="1">Sheet6!$K$5:$L$61</definedName>
    <definedName name="_xlchart.v5.10" hidden="1">Sheet6!$M$4</definedName>
    <definedName name="_xlchart.v5.11" hidden="1">Sheet6!$M$5:$M$61</definedName>
    <definedName name="_xlchart.v5.2" hidden="1">Sheet6!$M$4</definedName>
    <definedName name="_xlchart.v5.3" hidden="1">Sheet6!$M$5:$M$61</definedName>
    <definedName name="_xlchart.v5.4" hidden="1">Sheet6!$G$3:$H$3</definedName>
    <definedName name="_xlchart.v5.5" hidden="1">Sheet6!$G$4:$H$61</definedName>
    <definedName name="_xlchart.v5.6" hidden="1">Sheet6!$I$3</definedName>
    <definedName name="_xlchart.v5.7" hidden="1">Sheet6!$I$4:$I$61</definedName>
    <definedName name="_xlchart.v5.8" hidden="1">Sheet6!$K$4:$L$4</definedName>
    <definedName name="_xlchart.v5.9" hidden="1">Sheet6!$K$5:$L$61</definedName>
    <definedName name="Slicer_Gender_Value">#N/A</definedName>
    <definedName name="Slicer_Order_Mode">#N/A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0" l="1"/>
  <c r="L6" i="10"/>
  <c r="M6" i="10"/>
  <c r="K7" i="10"/>
  <c r="L7" i="10"/>
  <c r="M7" i="10"/>
  <c r="K8" i="10"/>
  <c r="L8" i="10"/>
  <c r="M8" i="10"/>
  <c r="K9" i="10"/>
  <c r="L9" i="10"/>
  <c r="M9" i="10"/>
  <c r="K10" i="10"/>
  <c r="L10" i="10"/>
  <c r="M10" i="10"/>
  <c r="K11" i="10"/>
  <c r="L11" i="10"/>
  <c r="M11" i="10"/>
  <c r="K12" i="10"/>
  <c r="L12" i="10"/>
  <c r="M12" i="10"/>
  <c r="K13" i="10"/>
  <c r="L13" i="10"/>
  <c r="M13" i="10"/>
  <c r="K14" i="10"/>
  <c r="L14" i="10"/>
  <c r="M14" i="10"/>
  <c r="K15" i="10"/>
  <c r="L15" i="10"/>
  <c r="M15" i="10"/>
  <c r="K16" i="10"/>
  <c r="L16" i="10"/>
  <c r="M16" i="10"/>
  <c r="K17" i="10"/>
  <c r="L17" i="10"/>
  <c r="M17" i="10"/>
  <c r="K18" i="10"/>
  <c r="L18" i="10"/>
  <c r="M18" i="10"/>
  <c r="K19" i="10"/>
  <c r="L19" i="10"/>
  <c r="M19" i="10"/>
  <c r="K20" i="10"/>
  <c r="L20" i="10"/>
  <c r="M20" i="10"/>
  <c r="K21" i="10"/>
  <c r="L21" i="10"/>
  <c r="M21" i="10"/>
  <c r="K22" i="10"/>
  <c r="L22" i="10"/>
  <c r="M22" i="10"/>
  <c r="K23" i="10"/>
  <c r="L23" i="10"/>
  <c r="M23" i="10"/>
  <c r="K24" i="10"/>
  <c r="L24" i="10"/>
  <c r="M24" i="10"/>
  <c r="K25" i="10"/>
  <c r="L25" i="10"/>
  <c r="M25" i="10"/>
  <c r="K26" i="10"/>
  <c r="L26" i="10"/>
  <c r="M26" i="10"/>
  <c r="K27" i="10"/>
  <c r="L27" i="10"/>
  <c r="M27" i="10"/>
  <c r="K28" i="10"/>
  <c r="L28" i="10"/>
  <c r="M28" i="10"/>
  <c r="K29" i="10"/>
  <c r="L29" i="10"/>
  <c r="M29" i="10"/>
  <c r="K30" i="10"/>
  <c r="L30" i="10"/>
  <c r="M30" i="10"/>
  <c r="K31" i="10"/>
  <c r="L31" i="10"/>
  <c r="M31" i="10"/>
  <c r="K32" i="10"/>
  <c r="L32" i="10"/>
  <c r="M32" i="10"/>
  <c r="K33" i="10"/>
  <c r="L33" i="10"/>
  <c r="M33" i="10"/>
  <c r="K34" i="10"/>
  <c r="L34" i="10"/>
  <c r="M34" i="10"/>
  <c r="K35" i="10"/>
  <c r="L35" i="10"/>
  <c r="M35" i="10"/>
  <c r="K36" i="10"/>
  <c r="L36" i="10"/>
  <c r="M36" i="10"/>
  <c r="K37" i="10"/>
  <c r="L37" i="10"/>
  <c r="M37" i="10"/>
  <c r="K38" i="10"/>
  <c r="L38" i="10"/>
  <c r="M38" i="10"/>
  <c r="K39" i="10"/>
  <c r="L39" i="10"/>
  <c r="M39" i="10"/>
  <c r="K40" i="10"/>
  <c r="L40" i="10"/>
  <c r="M40" i="10"/>
  <c r="K41" i="10"/>
  <c r="L41" i="10"/>
  <c r="M41" i="10"/>
  <c r="K42" i="10"/>
  <c r="L42" i="10"/>
  <c r="M42" i="10"/>
  <c r="K43" i="10"/>
  <c r="L43" i="10"/>
  <c r="M43" i="10"/>
  <c r="K44" i="10"/>
  <c r="L44" i="10"/>
  <c r="M44" i="10"/>
  <c r="K45" i="10"/>
  <c r="L45" i="10"/>
  <c r="M45" i="10"/>
  <c r="K46" i="10"/>
  <c r="L46" i="10"/>
  <c r="M46" i="10"/>
  <c r="K47" i="10"/>
  <c r="L47" i="10"/>
  <c r="M47" i="10"/>
  <c r="K48" i="10"/>
  <c r="L48" i="10"/>
  <c r="M48" i="10"/>
  <c r="K49" i="10"/>
  <c r="L49" i="10"/>
  <c r="M49" i="10"/>
  <c r="K50" i="10"/>
  <c r="L50" i="10"/>
  <c r="M50" i="10"/>
  <c r="K51" i="10"/>
  <c r="L51" i="10"/>
  <c r="M51" i="10"/>
  <c r="K52" i="10"/>
  <c r="L52" i="10"/>
  <c r="M52" i="10"/>
  <c r="K53" i="10"/>
  <c r="L53" i="10"/>
  <c r="M53" i="10"/>
  <c r="K54" i="10"/>
  <c r="L54" i="10"/>
  <c r="M54" i="10"/>
  <c r="K55" i="10"/>
  <c r="L55" i="10"/>
  <c r="M55" i="10"/>
  <c r="K56" i="10"/>
  <c r="L56" i="10"/>
  <c r="M56" i="10"/>
  <c r="K57" i="10"/>
  <c r="L57" i="10"/>
  <c r="M57" i="10"/>
  <c r="K58" i="10"/>
  <c r="L58" i="10"/>
  <c r="M58" i="10"/>
  <c r="K59" i="10"/>
  <c r="L59" i="10"/>
  <c r="M59" i="10"/>
  <c r="K60" i="10"/>
  <c r="L60" i="10"/>
  <c r="M60" i="10"/>
  <c r="K61" i="10"/>
  <c r="L61" i="10"/>
  <c r="M61" i="10"/>
  <c r="K62" i="10"/>
  <c r="L62" i="10"/>
  <c r="M62" i="10"/>
  <c r="K63" i="10"/>
  <c r="L63" i="10"/>
  <c r="M63" i="10"/>
  <c r="K64" i="10"/>
  <c r="L64" i="10"/>
  <c r="M64" i="10"/>
  <c r="K65" i="10"/>
  <c r="L65" i="10"/>
  <c r="M65" i="10"/>
  <c r="K66" i="10"/>
  <c r="L66" i="10"/>
  <c r="M66" i="10"/>
  <c r="K67" i="10"/>
  <c r="L67" i="10"/>
  <c r="M67" i="10"/>
  <c r="K68" i="10"/>
  <c r="L68" i="10"/>
  <c r="M68" i="10"/>
  <c r="K69" i="10"/>
  <c r="L69" i="10"/>
  <c r="M69" i="10"/>
  <c r="K70" i="10"/>
  <c r="L70" i="10"/>
  <c r="M70" i="10"/>
  <c r="K71" i="10"/>
  <c r="L71" i="10"/>
  <c r="M71" i="10"/>
  <c r="K72" i="10"/>
  <c r="L72" i="10"/>
  <c r="M72" i="10"/>
  <c r="K73" i="10"/>
  <c r="L73" i="10"/>
  <c r="M73" i="10"/>
  <c r="K74" i="10"/>
  <c r="L74" i="10"/>
  <c r="M74" i="10"/>
  <c r="K75" i="10"/>
  <c r="L75" i="10"/>
  <c r="M75" i="10"/>
  <c r="K76" i="10"/>
  <c r="L76" i="10"/>
  <c r="M76" i="10"/>
  <c r="K77" i="10"/>
  <c r="L77" i="10"/>
  <c r="M77" i="10"/>
  <c r="K78" i="10"/>
  <c r="L78" i="10"/>
  <c r="M78" i="10"/>
  <c r="K79" i="10"/>
  <c r="L79" i="10"/>
  <c r="M79" i="10"/>
  <c r="K80" i="10"/>
  <c r="L80" i="10"/>
  <c r="M80" i="10"/>
  <c r="K81" i="10"/>
  <c r="L81" i="10"/>
  <c r="M81" i="10"/>
  <c r="K82" i="10"/>
  <c r="L82" i="10"/>
  <c r="M82" i="10"/>
  <c r="K83" i="10"/>
  <c r="L83" i="10"/>
  <c r="M83" i="10"/>
  <c r="K84" i="10"/>
  <c r="L84" i="10"/>
  <c r="M84" i="10"/>
  <c r="K85" i="10"/>
  <c r="L85" i="10"/>
  <c r="M85" i="10"/>
  <c r="K86" i="10"/>
  <c r="L86" i="10"/>
  <c r="M86" i="10"/>
  <c r="K87" i="10"/>
  <c r="L87" i="10"/>
  <c r="M87" i="10"/>
  <c r="K88" i="10"/>
  <c r="L88" i="10"/>
  <c r="M88" i="10"/>
  <c r="K89" i="10"/>
  <c r="L89" i="10"/>
  <c r="M89" i="10"/>
  <c r="K90" i="10"/>
  <c r="L90" i="10"/>
  <c r="M90" i="10"/>
  <c r="K91" i="10"/>
  <c r="L91" i="10"/>
  <c r="M91" i="10"/>
  <c r="K92" i="10"/>
  <c r="L92" i="10"/>
  <c r="M92" i="10"/>
  <c r="K93" i="10"/>
  <c r="L93" i="10"/>
  <c r="M93" i="10"/>
  <c r="K94" i="10"/>
  <c r="L94" i="10"/>
  <c r="M94" i="10"/>
  <c r="K95" i="10"/>
  <c r="L95" i="10"/>
  <c r="M95" i="10"/>
  <c r="K96" i="10"/>
  <c r="L96" i="10"/>
  <c r="M96" i="10"/>
  <c r="K97" i="10"/>
  <c r="L97" i="10"/>
  <c r="M97" i="10"/>
  <c r="K98" i="10"/>
  <c r="L98" i="10"/>
  <c r="M98" i="10"/>
  <c r="K99" i="10"/>
  <c r="L99" i="10"/>
  <c r="M99" i="10"/>
  <c r="K100" i="10"/>
  <c r="L100" i="10"/>
  <c r="M100" i="10"/>
  <c r="K101" i="10"/>
  <c r="L101" i="10"/>
  <c r="M101" i="10"/>
  <c r="K102" i="10"/>
  <c r="L102" i="10"/>
  <c r="M102" i="10"/>
  <c r="K103" i="10"/>
  <c r="L103" i="10"/>
  <c r="M103" i="10"/>
  <c r="K104" i="10"/>
  <c r="L104" i="10"/>
  <c r="M104" i="10"/>
  <c r="K105" i="10"/>
  <c r="L105" i="10"/>
  <c r="M105" i="10"/>
  <c r="K106" i="10"/>
  <c r="L106" i="10"/>
  <c r="M106" i="10"/>
  <c r="K107" i="10"/>
  <c r="L107" i="10"/>
  <c r="M107" i="10"/>
  <c r="K108" i="10"/>
  <c r="L108" i="10"/>
  <c r="M108" i="10"/>
  <c r="K109" i="10"/>
  <c r="L109" i="10"/>
  <c r="M109" i="10"/>
  <c r="K110" i="10"/>
  <c r="L110" i="10"/>
  <c r="M110" i="10"/>
  <c r="K111" i="10"/>
  <c r="L111" i="10"/>
  <c r="M111" i="10"/>
  <c r="K112" i="10"/>
  <c r="L112" i="10"/>
  <c r="M112" i="10"/>
  <c r="K113" i="10"/>
  <c r="L113" i="10"/>
  <c r="M113" i="10"/>
  <c r="K114" i="10"/>
  <c r="L114" i="10"/>
  <c r="M114" i="10"/>
  <c r="K115" i="10"/>
  <c r="L115" i="10"/>
  <c r="M115" i="10"/>
  <c r="K116" i="10"/>
  <c r="L116" i="10"/>
  <c r="M116" i="10"/>
  <c r="K117" i="10"/>
  <c r="L117" i="10"/>
  <c r="M117" i="10"/>
  <c r="K118" i="10"/>
  <c r="L118" i="10"/>
  <c r="M118" i="10"/>
  <c r="K119" i="10"/>
  <c r="L119" i="10"/>
  <c r="M119" i="10"/>
  <c r="K120" i="10"/>
  <c r="L120" i="10"/>
  <c r="M120" i="10"/>
  <c r="K121" i="10"/>
  <c r="L121" i="10"/>
  <c r="M121" i="10"/>
  <c r="K122" i="10"/>
  <c r="L122" i="10"/>
  <c r="M122" i="10"/>
  <c r="K123" i="10"/>
  <c r="L123" i="10"/>
  <c r="M123" i="10"/>
  <c r="K124" i="10"/>
  <c r="L124" i="10"/>
  <c r="M124" i="10"/>
  <c r="K125" i="10"/>
  <c r="L125" i="10"/>
  <c r="M125" i="10"/>
  <c r="K126" i="10"/>
  <c r="L126" i="10"/>
  <c r="M126" i="10"/>
  <c r="K127" i="10"/>
  <c r="L127" i="10"/>
  <c r="M127" i="10"/>
  <c r="K128" i="10"/>
  <c r="L128" i="10"/>
  <c r="M128" i="10"/>
  <c r="K129" i="10"/>
  <c r="L129" i="10"/>
  <c r="M129" i="10"/>
  <c r="K130" i="10"/>
  <c r="L130" i="10"/>
  <c r="M130" i="10"/>
  <c r="K131" i="10"/>
  <c r="L131" i="10"/>
  <c r="M131" i="10"/>
  <c r="K132" i="10"/>
  <c r="L132" i="10"/>
  <c r="M132" i="10"/>
  <c r="K133" i="10"/>
  <c r="L133" i="10"/>
  <c r="M133" i="10"/>
  <c r="K134" i="10"/>
  <c r="L134" i="10"/>
  <c r="M134" i="10"/>
  <c r="K135" i="10"/>
  <c r="L135" i="10"/>
  <c r="M135" i="10"/>
  <c r="K136" i="10"/>
  <c r="L136" i="10"/>
  <c r="M136" i="10"/>
  <c r="K137" i="10"/>
  <c r="L137" i="10"/>
  <c r="M137" i="10"/>
  <c r="K138" i="10"/>
  <c r="L138" i="10"/>
  <c r="M138" i="10"/>
  <c r="K139" i="10"/>
  <c r="L139" i="10"/>
  <c r="M139" i="10"/>
  <c r="K140" i="10"/>
  <c r="L140" i="10"/>
  <c r="M140" i="10"/>
  <c r="K141" i="10"/>
  <c r="L141" i="10"/>
  <c r="M141" i="10"/>
  <c r="K142" i="10"/>
  <c r="L142" i="10"/>
  <c r="M142" i="10"/>
  <c r="K143" i="10"/>
  <c r="L143" i="10"/>
  <c r="M143" i="10"/>
  <c r="K144" i="10"/>
  <c r="L144" i="10"/>
  <c r="M144" i="10"/>
  <c r="K145" i="10"/>
  <c r="L145" i="10"/>
  <c r="M145" i="10"/>
  <c r="K146" i="10"/>
  <c r="L146" i="10"/>
  <c r="M146" i="10"/>
  <c r="K147" i="10"/>
  <c r="L147" i="10"/>
  <c r="M147" i="10"/>
  <c r="K148" i="10"/>
  <c r="L148" i="10"/>
  <c r="M148" i="10"/>
  <c r="K149" i="10"/>
  <c r="L149" i="10"/>
  <c r="M149" i="10"/>
  <c r="K150" i="10"/>
  <c r="L150" i="10"/>
  <c r="M150" i="10"/>
  <c r="K151" i="10"/>
  <c r="L151" i="10"/>
  <c r="M151" i="10"/>
  <c r="K152" i="10"/>
  <c r="L152" i="10"/>
  <c r="M152" i="10"/>
  <c r="K153" i="10"/>
  <c r="L153" i="10"/>
  <c r="M153" i="10"/>
  <c r="K154" i="10"/>
  <c r="L154" i="10"/>
  <c r="M154" i="10"/>
  <c r="K155" i="10"/>
  <c r="L155" i="10"/>
  <c r="M155" i="10"/>
  <c r="K156" i="10"/>
  <c r="L156" i="10"/>
  <c r="M156" i="10"/>
  <c r="K157" i="10"/>
  <c r="L157" i="10"/>
  <c r="M157" i="10"/>
  <c r="K158" i="10"/>
  <c r="L158" i="10"/>
  <c r="M158" i="10"/>
  <c r="K159" i="10"/>
  <c r="L159" i="10"/>
  <c r="M159" i="10"/>
  <c r="K160" i="10"/>
  <c r="L160" i="10"/>
  <c r="M160" i="10"/>
  <c r="K161" i="10"/>
  <c r="L161" i="10"/>
  <c r="M161" i="10"/>
  <c r="K162" i="10"/>
  <c r="L162" i="10"/>
  <c r="M162" i="10"/>
  <c r="K163" i="10"/>
  <c r="L163" i="10"/>
  <c r="M163" i="10"/>
  <c r="K164" i="10"/>
  <c r="L164" i="10"/>
  <c r="M164" i="10"/>
  <c r="K165" i="10"/>
  <c r="L165" i="10"/>
  <c r="M165" i="10"/>
  <c r="K166" i="10"/>
  <c r="L166" i="10"/>
  <c r="M166" i="10"/>
  <c r="K167" i="10"/>
  <c r="L167" i="10"/>
  <c r="M167" i="10"/>
  <c r="K168" i="10"/>
  <c r="L168" i="10"/>
  <c r="M168" i="10"/>
  <c r="K169" i="10"/>
  <c r="L169" i="10"/>
  <c r="M169" i="10"/>
  <c r="K170" i="10"/>
  <c r="L170" i="10"/>
  <c r="M170" i="10"/>
  <c r="K171" i="10"/>
  <c r="L171" i="10"/>
  <c r="M171" i="10"/>
  <c r="K172" i="10"/>
  <c r="L172" i="10"/>
  <c r="M172" i="10"/>
  <c r="K173" i="10"/>
  <c r="L173" i="10"/>
  <c r="M173" i="10"/>
  <c r="K174" i="10"/>
  <c r="L174" i="10"/>
  <c r="M174" i="10"/>
  <c r="K175" i="10"/>
  <c r="L175" i="10"/>
  <c r="M175" i="10"/>
  <c r="K176" i="10"/>
  <c r="L176" i="10"/>
  <c r="M176" i="10"/>
  <c r="K177" i="10"/>
  <c r="L177" i="10"/>
  <c r="M177" i="10"/>
  <c r="K178" i="10"/>
  <c r="L178" i="10"/>
  <c r="M178" i="10"/>
  <c r="K179" i="10"/>
  <c r="L179" i="10"/>
  <c r="M179" i="10"/>
  <c r="K180" i="10"/>
  <c r="L180" i="10"/>
  <c r="M180" i="10"/>
  <c r="K181" i="10"/>
  <c r="L181" i="10"/>
  <c r="M181" i="10"/>
  <c r="K182" i="10"/>
  <c r="L182" i="10"/>
  <c r="M182" i="10"/>
  <c r="K183" i="10"/>
  <c r="L183" i="10"/>
  <c r="M183" i="10"/>
  <c r="K184" i="10"/>
  <c r="L184" i="10"/>
  <c r="M184" i="10"/>
  <c r="K185" i="10"/>
  <c r="L185" i="10"/>
  <c r="M185" i="10"/>
  <c r="K186" i="10"/>
  <c r="L186" i="10"/>
  <c r="M186" i="10"/>
  <c r="K187" i="10"/>
  <c r="L187" i="10"/>
  <c r="M187" i="10"/>
  <c r="K188" i="10"/>
  <c r="L188" i="10"/>
  <c r="M188" i="10"/>
  <c r="K189" i="10"/>
  <c r="L189" i="10"/>
  <c r="M189" i="10"/>
  <c r="K190" i="10"/>
  <c r="L190" i="10"/>
  <c r="M190" i="10"/>
  <c r="K191" i="10"/>
  <c r="L191" i="10"/>
  <c r="M191" i="10"/>
  <c r="K192" i="10"/>
  <c r="L192" i="10"/>
  <c r="M192" i="10"/>
  <c r="K193" i="10"/>
  <c r="L193" i="10"/>
  <c r="M193" i="10"/>
  <c r="K194" i="10"/>
  <c r="L194" i="10"/>
  <c r="M194" i="10"/>
  <c r="K195" i="10"/>
  <c r="L195" i="10"/>
  <c r="M195" i="10"/>
  <c r="K196" i="10"/>
  <c r="L196" i="10"/>
  <c r="M196" i="10"/>
  <c r="K197" i="10"/>
  <c r="L197" i="10"/>
  <c r="M197" i="10"/>
  <c r="K198" i="10"/>
  <c r="L198" i="10"/>
  <c r="M198" i="10"/>
  <c r="K199" i="10"/>
  <c r="L199" i="10"/>
  <c r="M199" i="10"/>
  <c r="K200" i="10"/>
  <c r="L200" i="10"/>
  <c r="M200" i="10"/>
  <c r="K201" i="10"/>
  <c r="L201" i="10"/>
  <c r="M201" i="10"/>
  <c r="K202" i="10"/>
  <c r="L202" i="10"/>
  <c r="M202" i="10"/>
  <c r="K203" i="10"/>
  <c r="L203" i="10"/>
  <c r="M203" i="10"/>
  <c r="K204" i="10"/>
  <c r="L204" i="10"/>
  <c r="M204" i="10"/>
  <c r="K205" i="10"/>
  <c r="L205" i="10"/>
  <c r="M205" i="10"/>
  <c r="K206" i="10"/>
  <c r="L206" i="10"/>
  <c r="M206" i="10"/>
  <c r="K207" i="10"/>
  <c r="L207" i="10"/>
  <c r="M207" i="10"/>
  <c r="K208" i="10"/>
  <c r="L208" i="10"/>
  <c r="M208" i="10"/>
  <c r="K209" i="10"/>
  <c r="L209" i="10"/>
  <c r="M209" i="10"/>
  <c r="K210" i="10"/>
  <c r="L210" i="10"/>
  <c r="M210" i="10"/>
  <c r="K211" i="10"/>
  <c r="L211" i="10"/>
  <c r="M211" i="10"/>
  <c r="K212" i="10"/>
  <c r="L212" i="10"/>
  <c r="M212" i="10"/>
  <c r="K213" i="10"/>
  <c r="L213" i="10"/>
  <c r="M213" i="10"/>
  <c r="K214" i="10"/>
  <c r="L214" i="10"/>
  <c r="M214" i="10"/>
  <c r="K215" i="10"/>
  <c r="L215" i="10"/>
  <c r="M215" i="10"/>
  <c r="K216" i="10"/>
  <c r="L216" i="10"/>
  <c r="M216" i="10"/>
  <c r="K217" i="10"/>
  <c r="L217" i="10"/>
  <c r="M217" i="10"/>
  <c r="K218" i="10"/>
  <c r="L218" i="10"/>
  <c r="M218" i="10"/>
  <c r="K219" i="10"/>
  <c r="L219" i="10"/>
  <c r="M219" i="10"/>
  <c r="K220" i="10"/>
  <c r="L220" i="10"/>
  <c r="M220" i="10"/>
  <c r="K221" i="10"/>
  <c r="L221" i="10"/>
  <c r="M221" i="10"/>
  <c r="K222" i="10"/>
  <c r="L222" i="10"/>
  <c r="M222" i="10"/>
  <c r="K223" i="10"/>
  <c r="L223" i="10"/>
  <c r="M223" i="10"/>
  <c r="K224" i="10"/>
  <c r="L224" i="10"/>
  <c r="M224" i="10"/>
  <c r="K225" i="10"/>
  <c r="L225" i="10"/>
  <c r="M225" i="10"/>
  <c r="K226" i="10"/>
  <c r="L226" i="10"/>
  <c r="M226" i="10"/>
  <c r="K227" i="10"/>
  <c r="L227" i="10"/>
  <c r="M227" i="10"/>
  <c r="K228" i="10"/>
  <c r="L228" i="10"/>
  <c r="M228" i="10"/>
  <c r="K229" i="10"/>
  <c r="L229" i="10"/>
  <c r="M229" i="10"/>
  <c r="K230" i="10"/>
  <c r="L230" i="10"/>
  <c r="M230" i="10"/>
  <c r="K231" i="10"/>
  <c r="L231" i="10"/>
  <c r="M231" i="10"/>
  <c r="K232" i="10"/>
  <c r="L232" i="10"/>
  <c r="M232" i="10"/>
  <c r="L5" i="10"/>
  <c r="M5" i="10"/>
  <c r="K5" i="10"/>
  <c r="K4" i="10"/>
  <c r="H4" i="10"/>
  <c r="I4" i="10"/>
  <c r="H5" i="10"/>
  <c r="I5" i="10"/>
  <c r="H6" i="10"/>
  <c r="I6" i="10"/>
  <c r="H7" i="10"/>
  <c r="I7" i="10"/>
  <c r="H8" i="10"/>
  <c r="I8" i="10"/>
  <c r="H9" i="10"/>
  <c r="I9" i="10"/>
  <c r="H10" i="10"/>
  <c r="I10" i="10"/>
  <c r="H11" i="10"/>
  <c r="I11" i="10"/>
  <c r="H12" i="10"/>
  <c r="I12" i="10"/>
  <c r="H13" i="10"/>
  <c r="I13" i="10"/>
  <c r="H14" i="10"/>
  <c r="I14" i="10"/>
  <c r="H15" i="10"/>
  <c r="I15" i="10"/>
  <c r="H16" i="10"/>
  <c r="I16" i="10"/>
  <c r="H17" i="10"/>
  <c r="I17" i="10"/>
  <c r="H18" i="10"/>
  <c r="I18" i="10"/>
  <c r="H19" i="10"/>
  <c r="I19" i="10"/>
  <c r="H20" i="10"/>
  <c r="I20" i="10"/>
  <c r="H21" i="10"/>
  <c r="I21" i="10"/>
  <c r="H22" i="10"/>
  <c r="I22" i="10"/>
  <c r="H23" i="10"/>
  <c r="I23" i="10"/>
  <c r="H24" i="10"/>
  <c r="I24" i="10"/>
  <c r="H25" i="10"/>
  <c r="I25" i="10"/>
  <c r="H26" i="10"/>
  <c r="I26" i="10"/>
  <c r="H27" i="10"/>
  <c r="I27" i="10"/>
  <c r="H28" i="10"/>
  <c r="I28" i="10"/>
  <c r="H29" i="10"/>
  <c r="I29" i="10"/>
  <c r="H30" i="10"/>
  <c r="I30" i="10"/>
  <c r="H31" i="10"/>
  <c r="I31" i="10"/>
  <c r="H32" i="10"/>
  <c r="I32" i="10"/>
  <c r="H33" i="10"/>
  <c r="I33" i="10"/>
  <c r="H34" i="10"/>
  <c r="I34" i="10"/>
  <c r="H35" i="10"/>
  <c r="I35" i="10"/>
  <c r="H36" i="10"/>
  <c r="I36" i="10"/>
  <c r="H37" i="10"/>
  <c r="I37" i="10"/>
  <c r="H38" i="10"/>
  <c r="I38" i="10"/>
  <c r="H39" i="10"/>
  <c r="I39" i="10"/>
  <c r="H40" i="10"/>
  <c r="I40" i="10"/>
  <c r="H41" i="10"/>
  <c r="I41" i="10"/>
  <c r="H42" i="10"/>
  <c r="I42" i="10"/>
  <c r="H43" i="10"/>
  <c r="I43" i="10"/>
  <c r="H44" i="10"/>
  <c r="I44" i="10"/>
  <c r="H45" i="10"/>
  <c r="I45" i="10"/>
  <c r="H46" i="10"/>
  <c r="I46" i="10"/>
  <c r="H47" i="10"/>
  <c r="I47" i="10"/>
  <c r="H48" i="10"/>
  <c r="I48" i="10"/>
  <c r="H49" i="10"/>
  <c r="I49" i="10"/>
  <c r="H50" i="10"/>
  <c r="I50" i="10"/>
  <c r="H51" i="10"/>
  <c r="I51" i="10"/>
  <c r="H52" i="10"/>
  <c r="I52" i="10"/>
  <c r="H53" i="10"/>
  <c r="I53" i="10"/>
  <c r="H54" i="10"/>
  <c r="I54" i="10"/>
  <c r="H55" i="10"/>
  <c r="I55" i="10"/>
  <c r="H56" i="10"/>
  <c r="I56" i="10"/>
  <c r="H57" i="10"/>
  <c r="I57" i="10"/>
  <c r="H58" i="10"/>
  <c r="I58" i="10"/>
  <c r="H59" i="10"/>
  <c r="I59" i="10"/>
  <c r="H60" i="10"/>
  <c r="I60" i="10"/>
  <c r="H61" i="10"/>
  <c r="I61" i="10"/>
  <c r="H62" i="10"/>
  <c r="I62" i="10"/>
  <c r="H63" i="10"/>
  <c r="I63" i="10"/>
  <c r="H64" i="10"/>
  <c r="I64" i="10"/>
  <c r="H65" i="10"/>
  <c r="I65" i="10"/>
  <c r="H66" i="10"/>
  <c r="I66" i="10"/>
  <c r="H67" i="10"/>
  <c r="I67" i="10"/>
  <c r="H68" i="10"/>
  <c r="I68" i="10"/>
  <c r="H69" i="10"/>
  <c r="I69" i="10"/>
  <c r="H70" i="10"/>
  <c r="I70" i="10"/>
  <c r="H71" i="10"/>
  <c r="I71" i="10"/>
  <c r="H72" i="10"/>
  <c r="I72" i="10"/>
  <c r="H73" i="10"/>
  <c r="I73" i="10"/>
  <c r="H74" i="10"/>
  <c r="I74" i="10"/>
  <c r="H75" i="10"/>
  <c r="I75" i="10"/>
  <c r="H76" i="10"/>
  <c r="I76" i="10"/>
  <c r="H77" i="10"/>
  <c r="I77" i="10"/>
  <c r="H78" i="10"/>
  <c r="I78" i="10"/>
  <c r="H79" i="10"/>
  <c r="I79" i="10"/>
  <c r="H80" i="10"/>
  <c r="I80" i="10"/>
  <c r="H81" i="10"/>
  <c r="I81" i="10"/>
  <c r="H82" i="10"/>
  <c r="I82" i="10"/>
  <c r="H83" i="10"/>
  <c r="I83" i="10"/>
  <c r="H84" i="10"/>
  <c r="I84" i="10"/>
  <c r="H85" i="10"/>
  <c r="I85" i="10"/>
  <c r="H86" i="10"/>
  <c r="I86" i="10"/>
  <c r="H87" i="10"/>
  <c r="I87" i="10"/>
  <c r="H88" i="10"/>
  <c r="I88" i="10"/>
  <c r="H89" i="10"/>
  <c r="I89" i="10"/>
  <c r="H90" i="10"/>
  <c r="I90" i="10"/>
  <c r="H91" i="10"/>
  <c r="I91" i="10"/>
  <c r="H92" i="10"/>
  <c r="I92" i="10"/>
  <c r="H93" i="10"/>
  <c r="I93" i="10"/>
  <c r="H94" i="10"/>
  <c r="I94" i="10"/>
  <c r="H95" i="10"/>
  <c r="I95" i="10"/>
  <c r="H96" i="10"/>
  <c r="I96" i="10"/>
  <c r="H97" i="10"/>
  <c r="I97" i="10"/>
  <c r="H98" i="10"/>
  <c r="I98" i="10"/>
  <c r="H99" i="10"/>
  <c r="I99" i="10"/>
  <c r="H100" i="10"/>
  <c r="I100" i="10"/>
  <c r="H101" i="10"/>
  <c r="I101" i="10"/>
  <c r="H102" i="10"/>
  <c r="I102" i="10"/>
  <c r="H103" i="10"/>
  <c r="I103" i="10"/>
  <c r="H104" i="10"/>
  <c r="I104" i="10"/>
  <c r="H105" i="10"/>
  <c r="I105" i="10"/>
  <c r="H106" i="10"/>
  <c r="I106" i="10"/>
  <c r="H107" i="10"/>
  <c r="I107" i="10"/>
  <c r="H108" i="10"/>
  <c r="I108" i="10"/>
  <c r="H109" i="10"/>
  <c r="I109" i="10"/>
  <c r="H110" i="10"/>
  <c r="I110" i="10"/>
  <c r="H111" i="10"/>
  <c r="I111" i="10"/>
  <c r="H112" i="10"/>
  <c r="I112" i="10"/>
  <c r="H113" i="10"/>
  <c r="I113" i="10"/>
  <c r="H114" i="10"/>
  <c r="I114" i="10"/>
  <c r="H115" i="10"/>
  <c r="I115" i="10"/>
  <c r="H116" i="10"/>
  <c r="I116" i="10"/>
  <c r="H117" i="10"/>
  <c r="I117" i="10"/>
  <c r="H118" i="10"/>
  <c r="I118" i="10"/>
  <c r="H119" i="10"/>
  <c r="I119" i="10"/>
  <c r="H120" i="10"/>
  <c r="I120" i="10"/>
  <c r="H121" i="10"/>
  <c r="I121" i="10"/>
  <c r="H122" i="10"/>
  <c r="I122" i="10"/>
  <c r="H123" i="10"/>
  <c r="I123" i="10"/>
  <c r="H124" i="10"/>
  <c r="I124" i="10"/>
  <c r="H125" i="10"/>
  <c r="I125" i="10"/>
  <c r="H126" i="10"/>
  <c r="I126" i="10"/>
  <c r="H127" i="10"/>
  <c r="I127" i="10"/>
  <c r="H128" i="10"/>
  <c r="I128" i="10"/>
  <c r="H129" i="10"/>
  <c r="I129" i="10"/>
  <c r="H130" i="10"/>
  <c r="I130" i="10"/>
  <c r="H131" i="10"/>
  <c r="I131" i="10"/>
  <c r="H132" i="10"/>
  <c r="I132" i="10"/>
  <c r="H133" i="10"/>
  <c r="I133" i="10"/>
  <c r="H134" i="10"/>
  <c r="I134" i="10"/>
  <c r="H135" i="10"/>
  <c r="I135" i="10"/>
  <c r="H136" i="10"/>
  <c r="I136" i="10"/>
  <c r="H137" i="10"/>
  <c r="I137" i="10"/>
  <c r="H138" i="10"/>
  <c r="I138" i="10"/>
  <c r="H139" i="10"/>
  <c r="I139" i="10"/>
  <c r="H140" i="10"/>
  <c r="I140" i="10"/>
  <c r="H141" i="10"/>
  <c r="I141" i="10"/>
  <c r="H142" i="10"/>
  <c r="I142" i="10"/>
  <c r="H143" i="10"/>
  <c r="I143" i="10"/>
  <c r="H144" i="10"/>
  <c r="I144" i="10"/>
  <c r="H145" i="10"/>
  <c r="I145" i="10"/>
  <c r="H146" i="10"/>
  <c r="I146" i="10"/>
  <c r="H147" i="10"/>
  <c r="I147" i="10"/>
  <c r="H148" i="10"/>
  <c r="I148" i="10"/>
  <c r="H149" i="10"/>
  <c r="I149" i="10"/>
  <c r="H150" i="10"/>
  <c r="I150" i="10"/>
  <c r="H151" i="10"/>
  <c r="I151" i="10"/>
  <c r="H152" i="10"/>
  <c r="I152" i="10"/>
  <c r="H153" i="10"/>
  <c r="I153" i="10"/>
  <c r="H154" i="10"/>
  <c r="I154" i="10"/>
  <c r="H155" i="10"/>
  <c r="I155" i="10"/>
  <c r="H156" i="10"/>
  <c r="I156" i="10"/>
  <c r="H157" i="10"/>
  <c r="I157" i="10"/>
  <c r="H158" i="10"/>
  <c r="I158" i="10"/>
  <c r="H159" i="10"/>
  <c r="I159" i="10"/>
  <c r="H160" i="10"/>
  <c r="I160" i="10"/>
  <c r="H161" i="10"/>
  <c r="I161" i="10"/>
  <c r="H162" i="10"/>
  <c r="I162" i="10"/>
  <c r="H163" i="10"/>
  <c r="I163" i="10"/>
  <c r="H164" i="10"/>
  <c r="I164" i="10"/>
  <c r="H165" i="10"/>
  <c r="I165" i="10"/>
  <c r="H166" i="10"/>
  <c r="I166" i="10"/>
  <c r="H167" i="10"/>
  <c r="I167" i="10"/>
  <c r="H168" i="10"/>
  <c r="I168" i="10"/>
  <c r="H169" i="10"/>
  <c r="I169" i="10"/>
  <c r="H170" i="10"/>
  <c r="I170" i="10"/>
  <c r="H171" i="10"/>
  <c r="I171" i="10"/>
  <c r="H172" i="10"/>
  <c r="I172" i="10"/>
  <c r="H173" i="10"/>
  <c r="I173" i="10"/>
  <c r="H174" i="10"/>
  <c r="I174" i="10"/>
  <c r="H175" i="10"/>
  <c r="I175" i="10"/>
  <c r="H176" i="10"/>
  <c r="I176" i="10"/>
  <c r="H177" i="10"/>
  <c r="I177" i="10"/>
  <c r="H178" i="10"/>
  <c r="I178" i="10"/>
  <c r="H179" i="10"/>
  <c r="I179" i="10"/>
  <c r="H180" i="10"/>
  <c r="I180" i="10"/>
  <c r="H181" i="10"/>
  <c r="I181" i="10"/>
  <c r="H182" i="10"/>
  <c r="I182" i="10"/>
  <c r="H183" i="10"/>
  <c r="I183" i="10"/>
  <c r="H184" i="10"/>
  <c r="I184" i="10"/>
  <c r="H185" i="10"/>
  <c r="I185" i="10"/>
  <c r="H186" i="10"/>
  <c r="I186" i="10"/>
  <c r="H187" i="10"/>
  <c r="I187" i="10"/>
  <c r="H188" i="10"/>
  <c r="I188" i="10"/>
  <c r="H189" i="10"/>
  <c r="I189" i="10"/>
  <c r="H190" i="10"/>
  <c r="I190" i="10"/>
  <c r="H191" i="10"/>
  <c r="I191" i="10"/>
  <c r="H192" i="10"/>
  <c r="I192" i="10"/>
  <c r="H193" i="10"/>
  <c r="I193" i="10"/>
  <c r="H194" i="10"/>
  <c r="I194" i="10"/>
  <c r="H195" i="10"/>
  <c r="I195" i="10"/>
  <c r="H196" i="10"/>
  <c r="I196" i="10"/>
  <c r="H197" i="10"/>
  <c r="I197" i="10"/>
  <c r="H198" i="10"/>
  <c r="I198" i="10"/>
  <c r="H199" i="10"/>
  <c r="I199" i="10"/>
  <c r="H200" i="10"/>
  <c r="I200" i="10"/>
  <c r="H201" i="10"/>
  <c r="I201" i="10"/>
  <c r="H202" i="10"/>
  <c r="I202" i="10"/>
  <c r="H203" i="10"/>
  <c r="I203" i="10"/>
  <c r="H204" i="10"/>
  <c r="I204" i="10"/>
  <c r="H205" i="10"/>
  <c r="I205" i="10"/>
  <c r="H206" i="10"/>
  <c r="I206" i="10"/>
  <c r="H207" i="10"/>
  <c r="I207" i="10"/>
  <c r="H208" i="10"/>
  <c r="I208" i="10"/>
  <c r="H209" i="10"/>
  <c r="I209" i="10"/>
  <c r="H210" i="10"/>
  <c r="I210" i="10"/>
  <c r="H211" i="10"/>
  <c r="I211" i="10"/>
  <c r="H212" i="10"/>
  <c r="I212" i="10"/>
  <c r="H213" i="10"/>
  <c r="I213" i="10"/>
  <c r="H214" i="10"/>
  <c r="I214" i="10"/>
  <c r="H215" i="10"/>
  <c r="I215" i="10"/>
  <c r="H216" i="10"/>
  <c r="I216" i="10"/>
  <c r="H217" i="10"/>
  <c r="I217" i="10"/>
  <c r="H218" i="10"/>
  <c r="I218" i="10"/>
  <c r="H219" i="10"/>
  <c r="I219" i="10"/>
  <c r="H220" i="10"/>
  <c r="I220" i="10"/>
  <c r="H221" i="10"/>
  <c r="I221" i="10"/>
  <c r="H222" i="10"/>
  <c r="I222" i="10"/>
  <c r="H223" i="10"/>
  <c r="I223" i="10"/>
  <c r="H224" i="10"/>
  <c r="I224" i="10"/>
  <c r="H225" i="10"/>
  <c r="I225" i="10"/>
  <c r="H226" i="10"/>
  <c r="I226" i="10"/>
  <c r="H227" i="10"/>
  <c r="I227" i="10"/>
  <c r="H228" i="10"/>
  <c r="I228" i="10"/>
  <c r="H229" i="10"/>
  <c r="I229" i="10"/>
  <c r="H230" i="10"/>
  <c r="I230" i="10"/>
  <c r="H231" i="10"/>
  <c r="I231" i="10"/>
  <c r="H232" i="10"/>
  <c r="I232" i="10"/>
  <c r="H233" i="10"/>
  <c r="I233" i="10"/>
  <c r="H234" i="10"/>
  <c r="I23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4" i="10"/>
  <c r="J4" i="7"/>
  <c r="K4" i="7"/>
  <c r="L4" i="7"/>
  <c r="I4" i="7"/>
  <c r="G3" i="10"/>
  <c r="L4" i="10"/>
  <c r="H3" i="10"/>
  <c r="I5" i="7"/>
  <c r="I6" i="7"/>
  <c r="I7" i="7"/>
  <c r="I8" i="7"/>
  <c r="I9" i="7"/>
  <c r="J6" i="7"/>
  <c r="K6" i="7"/>
  <c r="L6" i="7"/>
  <c r="J7" i="7"/>
  <c r="K7" i="7"/>
  <c r="L7" i="7"/>
  <c r="J8" i="7"/>
  <c r="K8" i="7"/>
  <c r="L8" i="7"/>
  <c r="J9" i="7"/>
  <c r="K9" i="7"/>
  <c r="L9" i="7"/>
  <c r="J5" i="7"/>
  <c r="K5" i="7"/>
  <c r="L5" i="7"/>
  <c r="H6" i="7"/>
  <c r="H7" i="7"/>
  <c r="H8" i="7"/>
  <c r="H9" i="7"/>
  <c r="H5" i="7"/>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<sst xmlns="http://schemas.openxmlformats.org/spreadsheetml/2006/main" count="14595" uniqueCount="2542">
  <si>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</si>
  <si>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</si>
  <si>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</si>
  <si>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</si>
  <si>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</si>
  <si>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</si>
  <si>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</si>
  <si>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</si>
  <si>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</si>
  <si>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</si>
  <si>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</si>
  <si>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</si>
  <si>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</si>
  <si>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</si>
  <si>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</si>
  <si>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</si>
  <si>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</si>
  <si>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</si>
  <si>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</si>
  <si>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</si>
  <si>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</si>
  <si>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</si>
  <si>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</si>
  <si>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</si>
  <si>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</si>
  <si>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</si>
  <si>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</si>
  <si>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</si>
  <si>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</si>
  <si>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</si>
  <si>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</si>
  <si>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</si>
  <si>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</si>
  <si>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</si>
  <si>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</si>
  <si>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</si>
  <si>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</si>
  <si>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</si>
  <si>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</si>
  <si>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</si>
  <si>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</si>
  <si>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</si>
  <si>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</si>
  <si>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</si>
  <si>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</si>
  <si>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</si>
  <si>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</si>
  <si>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</si>
  <si>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</si>
  <si>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</si>
  <si>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</si>
  <si>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</si>
  <si>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</si>
  <si>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</si>
  <si>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</si>
  <si>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</si>
  <si>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</si>
  <si>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</si>
  <si>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</si>
  <si>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</si>
  <si>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</si>
  <si>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</si>
  <si>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</si>
  <si>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</si>
  <si>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</si>
  <si>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</si>
  <si>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</si>
  <si>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</si>
  <si>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</si>
  <si>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</si>
  <si>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</si>
  <si>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</si>
  <si>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</si>
  <si>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</si>
  <si>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</si>
  <si>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</si>
  <si>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</si>
  <si>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</si>
  <si>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</si>
  <si>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</si>
  <si>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</si>
  <si>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</si>
  <si>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</si>
  <si>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</si>
  <si>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</si>
  <si>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</si>
  <si>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</si>
  <si>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</si>
  <si>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</si>
  <si>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</si>
  <si>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</si>
  <si>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</si>
  <si>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</si>
  <si>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</si>
  <si>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</si>
  <si>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</si>
  <si>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</si>
  <si>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</si>
  <si>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</si>
  <si>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</si>
  <si>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</si>
  <si>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</si>
  <si>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</si>
  <si>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</si>
  <si>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</si>
  <si>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</si>
  <si>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</si>
  <si>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</si>
  <si>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</si>
  <si>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</si>
  <si>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</si>
  <si>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</si>
  <si>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</si>
  <si>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</si>
  <si>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</si>
  <si>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</si>
  <si>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</si>
  <si>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</si>
  <si>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</si>
  <si>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</si>
  <si>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</si>
  <si>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</si>
  <si>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</si>
  <si>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</si>
  <si>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</si>
  <si>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</si>
  <si>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</si>
  <si>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</si>
  <si>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</si>
  <si>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</si>
  <si>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</si>
  <si>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</si>
  <si>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</si>
  <si>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</si>
  <si>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</si>
  <si>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</si>
  <si>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</si>
  <si>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</si>
  <si>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</si>
  <si>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</si>
  <si>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</si>
  <si>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</si>
  <si>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</si>
  <si>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</si>
  <si>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</si>
  <si>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</si>
  <si>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</si>
  <si>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</si>
  <si>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</si>
  <si>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</si>
  <si>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</si>
  <si>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</si>
  <si>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</si>
  <si>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</si>
  <si>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</si>
  <si>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</si>
  <si>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</si>
  <si>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</si>
  <si>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</si>
  <si>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</si>
  <si>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</si>
  <si>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</si>
  <si>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</si>
  <si>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</si>
  <si>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</si>
  <si>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</si>
  <si>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</si>
  <si>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</si>
  <si>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</si>
  <si>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</si>
  <si>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</si>
  <si>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</si>
  <si>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</si>
  <si>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</si>
  <si>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</si>
  <si>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</si>
  <si>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</si>
  <si>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</si>
  <si>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</si>
  <si>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</si>
  <si>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</si>
  <si>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</si>
  <si>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</si>
  <si>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</si>
  <si>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</si>
  <si>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</si>
  <si>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</si>
  <si>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</si>
  <si>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</si>
  <si>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</si>
  <si>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</si>
  <si>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</si>
  <si>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</si>
  <si>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</si>
  <si>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</si>
  <si>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</si>
  <si>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</si>
  <si>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</si>
  <si>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</si>
  <si>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</si>
  <si>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</si>
  <si>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</si>
  <si>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</si>
  <si>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</si>
  <si>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</si>
  <si>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</si>
  <si>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</si>
  <si>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</si>
  <si>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</si>
  <si>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</si>
  <si>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</si>
  <si>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</si>
  <si>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</si>
  <si>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</si>
  <si>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</si>
  <si>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</si>
  <si>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</si>
  <si>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</si>
  <si>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</si>
  <si>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</si>
  <si>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</si>
  <si>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</si>
  <si>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</si>
  <si>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</si>
  <si>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</si>
  <si>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</si>
  <si>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</si>
  <si>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</si>
  <si>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</si>
  <si>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</si>
  <si>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</si>
  <si>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</si>
  <si>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</si>
  <si>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</si>
  <si>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</si>
  <si>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</si>
  <si>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</si>
  <si>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</si>
  <si>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</si>
  <si>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</si>
  <si>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</si>
  <si>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</si>
  <si>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</si>
  <si>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</si>
  <si>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</si>
  <si>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</si>
  <si>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</si>
  <si>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</si>
  <si>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</si>
  <si>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</si>
  <si>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</si>
  <si>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</si>
  <si>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</si>
  <si>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</si>
  <si>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</si>
  <si>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</si>
  <si>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</si>
  <si>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</si>
  <si>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</si>
  <si>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</si>
  <si>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</si>
  <si>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</si>
  <si>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</si>
  <si>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</si>
  <si>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</si>
  <si>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</si>
  <si>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</si>
  <si>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</si>
  <si>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</si>
  <si>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</si>
  <si>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</si>
  <si>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</si>
  <si>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</si>
  <si>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</si>
  <si>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</si>
  <si>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</si>
  <si>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</si>
  <si>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</si>
  <si>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</si>
  <si>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</si>
  <si>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</si>
  <si>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</si>
  <si>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</si>
  <si>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</si>
  <si>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</si>
  <si>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</si>
  <si>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</si>
  <si>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</si>
  <si>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</si>
  <si>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</si>
  <si>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</si>
  <si>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</si>
  <si>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</si>
  <si>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</si>
  <si>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</si>
  <si>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</si>
  <si>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</si>
  <si>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</si>
  <si>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</si>
  <si>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</si>
  <si>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</si>
  <si>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</si>
  <si>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</si>
  <si>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</si>
  <si>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</si>
  <si>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</si>
  <si>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</si>
  <si>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</si>
  <si>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</si>
  <si>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</si>
  <si>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</si>
  <si>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</si>
  <si>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</si>
  <si>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</si>
  <si>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</si>
  <si>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</si>
  <si>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</si>
  <si>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</si>
  <si>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</si>
  <si>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</si>
  <si>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</si>
  <si>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</si>
  <si>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</si>
  <si>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</si>
  <si>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</si>
  <si>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</si>
  <si>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</si>
  <si>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</si>
  <si>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</si>
  <si>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</si>
  <si>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</si>
  <si>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</si>
  <si>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</si>
  <si>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</si>
  <si>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</si>
  <si>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</si>
  <si>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</si>
  <si>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</si>
  <si>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</si>
  <si>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</si>
  <si>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</si>
  <si>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</si>
  <si>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</si>
  <si>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</si>
  <si>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</si>
  <si>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</si>
  <si>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</si>
  <si>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</si>
  <si>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</si>
  <si>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</si>
  <si>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</si>
  <si>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</si>
  <si>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</si>
  <si>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</si>
  <si>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</si>
  <si>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</si>
  <si>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</si>
  <si>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</si>
  <si>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</si>
  <si>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</si>
  <si>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</si>
  <si>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</si>
  <si>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</si>
  <si>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</si>
  <si>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</si>
  <si>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</si>
  <si>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</si>
  <si>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</si>
  <si>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</si>
  <si>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</si>
  <si>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</si>
  <si>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</si>
  <si>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</si>
  <si>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</si>
  <si>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</si>
  <si>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</si>
  <si>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</si>
  <si>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</si>
  <si>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</si>
  <si>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</si>
  <si>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</si>
  <si>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</si>
  <si>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</si>
  <si>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</si>
  <si>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</si>
  <si>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</si>
  <si>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</si>
  <si>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</si>
  <si>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</si>
  <si>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</si>
  <si>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</si>
  <si>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</si>
  <si>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</si>
  <si>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</si>
  <si>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</si>
  <si>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</si>
  <si>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</si>
  <si>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</si>
  <si>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</si>
  <si>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</si>
  <si>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</si>
  <si>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</si>
  <si>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</si>
  <si>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</si>
  <si>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</si>
  <si>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</si>
  <si>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</si>
  <si>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</si>
  <si>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</si>
  <si>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</si>
  <si>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</si>
  <si>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</si>
  <si>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</si>
  <si>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</si>
  <si>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</si>
  <si>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</si>
  <si>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</si>
  <si>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</si>
  <si>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</si>
  <si>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</si>
  <si>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</si>
  <si>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</si>
  <si>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</si>
  <si>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</si>
  <si>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</si>
  <si>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</si>
  <si>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</si>
  <si>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</si>
  <si>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</si>
  <si>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</si>
  <si>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</si>
  <si>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</si>
  <si>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</si>
  <si>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</si>
  <si>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</si>
  <si>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</si>
  <si>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</si>
  <si>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</si>
  <si>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</si>
  <si>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</si>
  <si>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</si>
  <si>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</si>
  <si>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</si>
  <si>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</si>
  <si>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</si>
  <si>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</si>
  <si>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</si>
  <si>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</si>
  <si>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</si>
  <si>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</si>
  <si>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</si>
  <si>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</si>
  <si>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</si>
  <si>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</si>
  <si>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</si>
  <si>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</si>
  <si>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</si>
  <si>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</si>
  <si>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</si>
  <si>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</si>
  <si>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</si>
  <si>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</si>
  <si>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</si>
  <si>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</si>
  <si>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</si>
  <si>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</si>
  <si>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</si>
  <si>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</si>
  <si>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</si>
  <si>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</si>
  <si>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</si>
  <si>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</si>
  <si>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</si>
  <si>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</si>
  <si>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</si>
  <si>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</si>
  <si>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</si>
  <si>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</si>
  <si>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</si>
  <si>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</si>
  <si>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</si>
  <si>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</si>
  <si>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</si>
  <si>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</si>
  <si>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</si>
  <si>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</si>
  <si>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</si>
  <si>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</si>
  <si>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</si>
  <si>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</si>
  <si>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</si>
  <si>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</si>
  <si>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</si>
  <si>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</si>
  <si>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</si>
  <si>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</si>
  <si>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</si>
  <si>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</si>
  <si>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</si>
  <si>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</si>
  <si>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</si>
  <si>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</si>
  <si>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</si>
  <si>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</si>
  <si>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</si>
  <si>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</si>
  <si>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</si>
  <si>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</si>
  <si>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</si>
  <si>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</si>
  <si>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</si>
  <si>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</si>
  <si>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</si>
  <si>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</si>
  <si>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</si>
  <si>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</si>
  <si>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</si>
  <si>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</si>
  <si>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</si>
  <si>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</si>
  <si>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</si>
  <si>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</si>
  <si>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</si>
  <si>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</si>
  <si>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</si>
  <si>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</si>
  <si>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</si>
  <si>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</si>
  <si>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</si>
  <si>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</si>
  <si>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</si>
  <si>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</si>
  <si>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</si>
  <si>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</si>
  <si>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</si>
  <si>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</si>
  <si>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</si>
  <si>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</si>
  <si>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</si>
  <si>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</si>
  <si>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</si>
  <si>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</si>
  <si>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</si>
  <si>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</si>
  <si>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</si>
  <si>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</si>
  <si>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</si>
  <si>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</si>
  <si>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</si>
  <si>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</si>
  <si>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</si>
  <si>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</si>
  <si>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</si>
  <si>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</si>
  <si>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</si>
  <si>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</si>
  <si>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</si>
  <si>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</si>
  <si>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</si>
  <si>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</si>
  <si>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</si>
  <si>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</si>
  <si>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</si>
  <si>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</si>
  <si>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</si>
  <si>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</si>
  <si>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</si>
  <si>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</si>
  <si>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</si>
  <si>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</si>
  <si>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</si>
  <si>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</si>
  <si>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</si>
  <si>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</si>
  <si>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</si>
  <si>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</si>
  <si>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</si>
  <si>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</si>
  <si>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</si>
  <si>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</si>
  <si>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</si>
  <si>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</si>
  <si>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</si>
  <si>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</si>
  <si>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</si>
  <si>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</si>
  <si>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</si>
  <si>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</si>
  <si>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</si>
  <si>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</si>
  <si>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</si>
  <si>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</si>
  <si>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</si>
  <si>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</si>
  <si>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</si>
  <si>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</si>
  <si>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</si>
  <si>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</si>
  <si>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</si>
  <si>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</si>
  <si>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</si>
  <si>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</si>
  <si>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</si>
  <si>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</si>
  <si>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</si>
  <si>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</si>
  <si>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</si>
  <si>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</si>
  <si>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</si>
  <si>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</si>
  <si>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</si>
  <si>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</si>
  <si>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</si>
  <si>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</si>
  <si>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</si>
  <si>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</si>
  <si>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</si>
  <si>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</si>
  <si>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</si>
  <si>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</si>
  <si>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</si>
  <si>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</si>
  <si>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</si>
  <si>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</si>
  <si>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</si>
  <si>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</si>
  <si>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</si>
  <si>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</si>
  <si>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</si>
  <si>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</si>
  <si>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</si>
  <si>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</si>
  <si>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</si>
  <si>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</si>
  <si>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</si>
  <si>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</si>
  <si>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</si>
  <si>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</si>
  <si>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</si>
  <si>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</si>
  <si>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</si>
  <si>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</si>
  <si>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</si>
  <si>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</si>
  <si>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</si>
  <si>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</si>
  <si>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</si>
  <si>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</si>
  <si>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</si>
  <si>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</si>
  <si>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</si>
  <si>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</si>
  <si>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</si>
  <si>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</si>
  <si>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</si>
  <si>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</si>
  <si>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</si>
  <si>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</si>
  <si>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</si>
  <si>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</si>
  <si>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</si>
  <si>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</si>
  <si>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</si>
  <si>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</si>
  <si>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</si>
  <si>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</si>
  <si>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</si>
  <si>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</si>
  <si>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</si>
  <si>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</si>
  <si>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</si>
  <si>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</si>
  <si>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</si>
  <si>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</si>
  <si>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</si>
  <si>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</si>
  <si>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</si>
  <si>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</si>
  <si>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</si>
  <si>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</si>
  <si>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</si>
  <si>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</si>
  <si>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</si>
  <si>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</si>
  <si>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</si>
  <si>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</si>
  <si>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</si>
  <si>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</si>
  <si>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</si>
  <si>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</si>
  <si>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</si>
  <si>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</si>
  <si>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</si>
  <si>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</si>
  <si>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</si>
  <si>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</si>
  <si>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</si>
  <si>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</si>
  <si>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</si>
  <si>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</si>
  <si>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</si>
  <si>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</si>
  <si>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</si>
  <si>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</si>
  <si>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</si>
  <si>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</si>
  <si>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</si>
  <si>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</si>
  <si>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</si>
  <si>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</si>
  <si>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</si>
  <si>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</si>
  <si>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</si>
  <si>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</si>
  <si>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</si>
  <si>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</si>
  <si>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</si>
  <si>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</si>
  <si>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</si>
  <si>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</si>
  <si>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</si>
  <si>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</si>
  <si>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</si>
  <si>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</si>
  <si>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</si>
  <si>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</si>
  <si>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</si>
  <si>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</si>
  <si>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</si>
  <si>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</si>
  <si>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</si>
  <si>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</si>
  <si>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</si>
  <si>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</si>
  <si>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</si>
  <si>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</si>
  <si>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</si>
  <si>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</si>
  <si>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</si>
  <si>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</si>
  <si>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</si>
  <si>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</si>
  <si>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</si>
  <si>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</si>
  <si>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</si>
  <si>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</si>
  <si>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</si>
  <si>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</si>
  <si>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</si>
  <si>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</si>
  <si>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</si>
  <si>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</si>
  <si>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</si>
  <si>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</si>
  <si>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</si>
  <si>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</si>
  <si>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</si>
  <si>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</si>
  <si>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</si>
  <si>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</si>
  <si>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</si>
  <si>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</si>
  <si>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</si>
  <si>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</si>
  <si>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</si>
  <si>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</si>
  <si>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</si>
  <si>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</si>
  <si>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</si>
  <si>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</si>
  <si>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</si>
  <si>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</si>
  <si>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</si>
  <si>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</si>
  <si>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</si>
  <si>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</si>
  <si>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</si>
  <si>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</si>
  <si>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</si>
  <si>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</si>
  <si>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</si>
  <si>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</si>
  <si>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</si>
  <si>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</si>
  <si>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</si>
  <si>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</si>
  <si>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</si>
  <si>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</si>
  <si>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</si>
  <si>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</si>
  <si>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</si>
  <si>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</si>
  <si>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</si>
  <si>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</si>
  <si>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</si>
  <si>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</si>
  <si>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</si>
  <si>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</si>
  <si>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</si>
  <si>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</si>
  <si>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</si>
  <si>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</si>
  <si>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</si>
  <si>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</si>
  <si>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</si>
  <si>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</si>
  <si>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</si>
  <si>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</si>
  <si>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</si>
  <si>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</si>
  <si>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</si>
  <si>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</si>
  <si>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</si>
  <si>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</si>
  <si>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</si>
  <si>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</si>
  <si>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</si>
  <si>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</si>
  <si>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</si>
  <si>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</si>
  <si>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</si>
  <si>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</si>
  <si>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</si>
  <si>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</si>
  <si>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</si>
  <si>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</si>
  <si>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</si>
  <si>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</si>
  <si>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</si>
  <si>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</si>
  <si>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</si>
  <si>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</si>
  <si>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</si>
  <si>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</si>
  <si>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</si>
  <si>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</si>
  <si>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</si>
  <si>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</si>
  <si>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</si>
  <si>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</si>
  <si>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</si>
  <si>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</si>
  <si>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</si>
  <si>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</si>
  <si>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</si>
  <si>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</si>
  <si>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</si>
  <si>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</si>
  <si>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</si>
  <si>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</si>
  <si>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</si>
  <si>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</si>
  <si>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</si>
  <si>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</si>
  <si>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</si>
  <si>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</si>
  <si>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</si>
  <si>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</si>
  <si>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</si>
  <si>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</si>
  <si>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</si>
  <si>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</si>
  <si>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</si>
  <si>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</si>
  <si>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</si>
  <si>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</si>
  <si>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</si>
  <si>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</si>
  <si>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</si>
  <si>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</si>
  <si>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</si>
  <si>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</si>
  <si>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</si>
  <si>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</si>
  <si>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</si>
  <si>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</si>
  <si>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</si>
  <si>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</si>
  <si>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</si>
  <si>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</si>
  <si>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</si>
  <si>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</si>
  <si>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</si>
  <si>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</si>
  <si>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</si>
  <si>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</si>
  <si>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</si>
  <si>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</si>
  <si>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</si>
  <si>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</si>
  <si>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</si>
  <si>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</si>
  <si>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</si>
  <si>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</si>
  <si>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</si>
  <si>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</si>
  <si>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</si>
  <si>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</si>
  <si>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</si>
  <si>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</si>
  <si>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</si>
  <si>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</si>
  <si>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</si>
  <si>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</si>
  <si>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</si>
  <si>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</si>
  <si>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</si>
  <si>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</si>
  <si>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</si>
  <si>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</si>
  <si>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</si>
  <si>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</si>
  <si>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</si>
  <si>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</si>
  <si>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</si>
  <si>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</si>
  <si>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</si>
  <si>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</si>
  <si>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</si>
  <si>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</si>
  <si>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</si>
  <si>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</si>
  <si>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</si>
  <si>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</si>
  <si>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</si>
  <si>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</si>
  <si>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</si>
  <si>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</si>
  <si>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</si>
  <si>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</si>
  <si>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</si>
  <si>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</si>
  <si>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</si>
  <si>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</si>
  <si>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</si>
  <si>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</si>
  <si>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</si>
  <si>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</si>
  <si>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</si>
  <si>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</si>
  <si>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</si>
  <si>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</si>
  <si>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</si>
  <si>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</si>
  <si>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</si>
  <si>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</si>
  <si>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</si>
  <si>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</si>
  <si>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</si>
  <si>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</si>
  <si>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</si>
  <si>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</si>
  <si>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</si>
  <si>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</si>
  <si>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</si>
  <si>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</si>
  <si>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</si>
  <si>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</si>
  <si>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</si>
  <si>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</si>
  <si>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</si>
  <si>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</si>
  <si>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</si>
  <si>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</si>
  <si>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</si>
  <si>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</si>
  <si>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</si>
  <si>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</si>
  <si>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</si>
  <si>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</si>
  <si>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</si>
  <si>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</si>
  <si>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</si>
  <si>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</si>
  <si>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</si>
  <si>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</si>
  <si>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</si>
  <si>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</si>
  <si>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</si>
  <si>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</si>
  <si>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</si>
  <si>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</si>
  <si>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</si>
  <si>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</si>
  <si>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</si>
  <si>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</si>
  <si>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</si>
  <si>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</si>
  <si>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</si>
  <si>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</si>
  <si>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</si>
  <si>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</si>
  <si>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</si>
  <si>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</si>
  <si>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</si>
  <si>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</si>
  <si>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</si>
  <si>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</si>
  <si>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</si>
  <si>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</si>
  <si>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</si>
  <si>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</si>
  <si>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</si>
  <si>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</si>
  <si>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</si>
  <si>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</si>
  <si>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</si>
  <si>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</si>
  <si>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</si>
  <si>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</si>
  <si>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</si>
  <si>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</si>
  <si>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</si>
  <si>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</si>
  <si>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</si>
  <si>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</si>
  <si>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</si>
  <si>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</si>
  <si>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</si>
  <si>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</si>
  <si>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</si>
  <si>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</si>
  <si>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</si>
  <si>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</si>
  <si>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</si>
  <si>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</si>
  <si>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</si>
  <si>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</si>
  <si>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</si>
  <si>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</si>
  <si>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</si>
  <si>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</si>
  <si>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</si>
  <si>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</si>
  <si>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</si>
  <si>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</si>
  <si>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</si>
  <si>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</si>
  <si>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</si>
  <si>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</si>
  <si>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</si>
  <si>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</si>
  <si>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</si>
  <si>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</si>
  <si>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</si>
  <si>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</si>
  <si>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</si>
  <si>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</si>
  <si>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</si>
  <si>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</si>
  <si>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</si>
  <si>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</si>
  <si>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</si>
  <si>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</si>
  <si>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</si>
  <si>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</si>
  <si>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</si>
  <si>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</si>
  <si>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</si>
  <si>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</si>
  <si>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</si>
  <si>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</si>
  <si>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</si>
  <si>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</si>
  <si>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</si>
  <si>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</si>
  <si>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</si>
  <si>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</si>
  <si>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</si>
  <si>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</si>
  <si>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</si>
  <si>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</si>
  <si>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</si>
  <si>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</si>
  <si>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</si>
  <si>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</si>
  <si>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</si>
  <si>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</si>
  <si>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</si>
  <si>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</si>
  <si>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</si>
  <si>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</si>
  <si>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</si>
  <si>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</si>
  <si>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</si>
  <si>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</si>
  <si>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</si>
  <si>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</si>
  <si>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</si>
  <si>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</si>
  <si>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</si>
  <si>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</si>
  <si>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</si>
  <si>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</si>
  <si>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</si>
  <si>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</si>
  <si>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</si>
  <si>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</si>
  <si>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</si>
  <si>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</si>
  <si>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</si>
  <si>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</si>
  <si>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</si>
  <si>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</si>
  <si>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</si>
  <si>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</si>
  <si>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</si>
  <si>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</si>
  <si>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</si>
  <si>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</si>
  <si>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</si>
  <si>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</si>
  <si>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</si>
  <si>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</si>
  <si>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</si>
  <si>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</si>
  <si>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</si>
  <si>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</si>
  <si>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</si>
  <si>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</si>
  <si>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</si>
  <si>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</si>
  <si>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</si>
  <si>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</si>
  <si>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</si>
  <si>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</si>
  <si>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</si>
  <si>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</si>
  <si>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</si>
  <si>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</si>
  <si>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</si>
  <si>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</si>
  <si>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</si>
  <si>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</si>
  <si>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</si>
  <si>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</si>
  <si>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</si>
  <si>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</si>
  <si>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</si>
  <si>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</si>
  <si>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</si>
  <si>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</si>
  <si>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</si>
  <si>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</si>
  <si>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</si>
  <si>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</si>
  <si>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</si>
  <si>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</si>
  <si>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</si>
  <si>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</si>
  <si>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</si>
  <si>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</si>
  <si>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</si>
  <si>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</si>
  <si>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</si>
  <si>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</si>
  <si>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</si>
  <si>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</si>
  <si>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</si>
  <si>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</si>
  <si>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</si>
  <si>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</si>
  <si>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</si>
  <si>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</si>
  <si>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</si>
  <si>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</si>
  <si>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</si>
  <si>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</si>
  <si>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</si>
  <si>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</si>
  <si>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</si>
  <si>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</si>
  <si>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</si>
  <si>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</si>
  <si>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</si>
  <si>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</si>
  <si>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</si>
  <si>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</si>
  <si>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</si>
  <si>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</si>
  <si>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</si>
  <si>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</si>
  <si>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</si>
  <si>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</si>
  <si>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</si>
  <si>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</si>
  <si>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</si>
  <si>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</si>
  <si>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</si>
  <si>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</si>
  <si>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</si>
  <si>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</si>
  <si>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</si>
  <si>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</si>
  <si>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</si>
  <si>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</si>
  <si>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</si>
  <si>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</si>
  <si>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</si>
  <si>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</si>
  <si>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</si>
  <si>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</si>
  <si>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</si>
  <si>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</si>
  <si>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</si>
  <si>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</si>
  <si>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</si>
  <si>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</si>
  <si>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</si>
  <si>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</si>
  <si>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</si>
  <si>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</si>
  <si>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</si>
  <si>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</si>
  <si>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</si>
  <si>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</si>
  <si>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</si>
  <si>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</si>
  <si>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</si>
  <si>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</si>
  <si>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</si>
  <si>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</si>
  <si>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</si>
  <si>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</si>
  <si>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</si>
  <si>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</si>
  <si>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</si>
  <si>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</si>
  <si>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</si>
  <si>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</si>
  <si>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</si>
  <si>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</si>
  <si>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</si>
  <si>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</si>
  <si>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</si>
  <si>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</si>
  <si>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</si>
  <si>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</si>
  <si>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</si>
  <si>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</si>
  <si>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</si>
  <si>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</si>
  <si>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</si>
  <si>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</si>
  <si>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</si>
  <si>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</si>
  <si>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</si>
  <si>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</si>
  <si>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</si>
  <si>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</si>
  <si>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</si>
  <si>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</si>
  <si>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</si>
  <si>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</si>
  <si>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</si>
  <si>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</si>
  <si>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</si>
  <si>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</si>
  <si>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</si>
  <si>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</si>
  <si>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</si>
  <si>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</si>
  <si>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</si>
  <si>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</si>
  <si>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</si>
  <si>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</si>
  <si>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</si>
  <si>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</si>
  <si>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</si>
  <si>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</si>
  <si>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</si>
  <si>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</si>
  <si>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</si>
  <si>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</si>
  <si>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</si>
  <si>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</si>
  <si>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</si>
  <si>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</si>
  <si>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</si>
  <si>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</si>
  <si>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</si>
  <si>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</si>
  <si>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</si>
  <si>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</si>
  <si>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</si>
  <si>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</si>
  <si>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</si>
  <si>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</si>
  <si>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</si>
  <si>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</si>
  <si>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</si>
  <si>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</si>
  <si>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</si>
  <si>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</si>
  <si>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</si>
  <si>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</si>
  <si>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</si>
  <si>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</si>
  <si>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</si>
  <si>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</si>
  <si>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</si>
  <si>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</si>
  <si>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</si>
  <si>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</si>
  <si>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</si>
  <si>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</si>
  <si>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</si>
  <si>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</si>
  <si>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</si>
  <si>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</si>
  <si>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</si>
  <si>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</si>
  <si>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</si>
  <si>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</si>
  <si>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</si>
  <si>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</si>
  <si>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</si>
  <si>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</si>
  <si>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</si>
  <si>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</si>
  <si>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</si>
  <si>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</si>
  <si>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</si>
  <si>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</si>
  <si>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</si>
  <si>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</si>
  <si>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</si>
  <si>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</si>
  <si>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</si>
  <si>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</si>
  <si>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</si>
  <si>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</si>
  <si>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</si>
  <si>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</si>
  <si>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</si>
  <si>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</si>
  <si>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</si>
  <si>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</si>
  <si>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</si>
  <si>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</si>
  <si>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</si>
  <si>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</si>
  <si>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</si>
  <si>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</si>
  <si>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</si>
  <si>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</si>
  <si>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</si>
  <si>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</si>
  <si>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</si>
  <si>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</si>
  <si>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</si>
  <si>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</si>
  <si>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</si>
  <si>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</si>
  <si>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</si>
  <si>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</si>
  <si>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</si>
  <si>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</si>
  <si>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</si>
  <si>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</si>
  <si>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</si>
  <si>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</si>
  <si>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</si>
  <si>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</si>
  <si>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</si>
  <si>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</si>
  <si>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</si>
  <si>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</si>
  <si>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</si>
  <si>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</si>
  <si>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</si>
  <si>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</si>
  <si>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</si>
  <si>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</si>
  <si>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</si>
  <si>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</si>
  <si>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</si>
  <si>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</si>
  <si>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</si>
  <si>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</si>
  <si>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</si>
  <si>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</si>
  <si>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</si>
  <si>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</si>
  <si>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</si>
  <si>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</si>
  <si>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</si>
  <si>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</si>
  <si>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</si>
  <si>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</si>
  <si>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</si>
  <si>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</si>
  <si>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</si>
  <si>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</si>
  <si>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</si>
  <si>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</si>
  <si>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</si>
  <si>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</si>
  <si>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</si>
  <si>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</si>
  <si>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</si>
  <si>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</si>
  <si>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</si>
  <si>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</si>
  <si>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</si>
  <si>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</si>
  <si>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</si>
  <si>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</si>
  <si>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</si>
  <si>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</si>
  <si>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</si>
  <si>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</si>
  <si>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</si>
  <si>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</si>
  <si>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</si>
  <si>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</si>
  <si>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</si>
  <si>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</si>
  <si>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</si>
  <si>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</si>
  <si>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</si>
  <si>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</si>
  <si>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</si>
  <si>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</si>
  <si>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</si>
  <si>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</si>
  <si>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</si>
  <si>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</si>
  <si>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</si>
  <si>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</si>
  <si>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</si>
  <si>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</si>
  <si>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</si>
  <si>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</si>
  <si>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</si>
  <si>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</si>
  <si>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</si>
  <si>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</si>
  <si>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</si>
  <si>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</si>
  <si>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</si>
  <si>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</si>
  <si>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</si>
  <si>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</si>
  <si>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</si>
  <si>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</si>
  <si>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</si>
  <si>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</si>
  <si>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</si>
  <si>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</si>
  <si>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</si>
  <si>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</si>
  <si>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</si>
  <si>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</si>
  <si>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</si>
  <si>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</si>
  <si>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</si>
  <si>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</si>
  <si>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</si>
  <si>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</si>
  <si>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</si>
  <si>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</si>
  <si>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</si>
  <si>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</si>
  <si>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</si>
  <si>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</si>
  <si>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</si>
  <si>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</si>
  <si>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</si>
  <si>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</si>
  <si>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</si>
  <si>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</si>
  <si>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</si>
  <si>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</si>
  <si>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</si>
  <si>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</si>
  <si>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</si>
  <si>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</si>
  <si>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</si>
  <si>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</si>
  <si>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</si>
  <si>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</si>
  <si>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</si>
  <si>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</si>
  <si>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</si>
  <si>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</si>
  <si>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</si>
  <si>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</si>
  <si>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</si>
  <si>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</si>
  <si>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</si>
  <si>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</si>
  <si>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</si>
  <si>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</si>
  <si>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</si>
  <si>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</si>
  <si>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</si>
  <si>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</si>
  <si>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</si>
  <si>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</si>
  <si>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</si>
  <si>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</si>
  <si>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</si>
  <si>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</si>
  <si>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</si>
  <si>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</si>
  <si>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</si>
  <si>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</si>
  <si>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</si>
  <si>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</si>
  <si>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</si>
  <si>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</si>
  <si>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</si>
  <si>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</si>
  <si>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</si>
  <si>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</si>
  <si>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</si>
  <si>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</si>
  <si>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</si>
  <si>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</si>
  <si>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</si>
  <si>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</si>
  <si>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</si>
  <si>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</si>
  <si>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</si>
  <si>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</si>
  <si>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</si>
  <si>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</si>
  <si>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</si>
  <si>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</si>
  <si>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</si>
  <si>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</si>
  <si>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</si>
  <si>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</si>
  <si>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</si>
  <si>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</si>
  <si>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</si>
  <si>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</si>
  <si>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</si>
  <si>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</si>
  <si>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</si>
  <si>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</si>
  <si>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</si>
  <si>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</si>
  <si>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</si>
  <si>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</si>
  <si>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</si>
  <si>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</si>
  <si>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</si>
  <si>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</si>
  <si>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</si>
  <si>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</si>
  <si>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</si>
  <si>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</si>
  <si>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</si>
  <si>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</si>
  <si>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</si>
  <si>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</si>
  <si>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</si>
  <si>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</si>
  <si>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</si>
  <si>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</si>
  <si>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</si>
  <si>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</si>
  <si>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</si>
  <si>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</si>
  <si>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</si>
  <si>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</si>
  <si>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</si>
  <si>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</si>
  <si>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</si>
  <si>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</si>
  <si>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</si>
  <si>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</si>
  <si>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</si>
  <si>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</si>
  <si>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</si>
  <si>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</si>
  <si>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</si>
  <si>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</si>
  <si>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</si>
  <si>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</si>
  <si>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</si>
  <si>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</si>
  <si>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</si>
  <si>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</si>
  <si>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</si>
  <si>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</si>
  <si>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</si>
  <si>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</si>
  <si>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</si>
  <si>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</si>
  <si>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</si>
  <si>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</si>
  <si>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</si>
  <si>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</si>
  <si>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</si>
  <si>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</si>
  <si>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</si>
  <si>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</si>
  <si>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</si>
  <si>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</si>
  <si>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</si>
  <si>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</si>
  <si>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</si>
  <si>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</si>
  <si>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</si>
  <si>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</si>
  <si>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</si>
  <si>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</si>
  <si>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</si>
  <si>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</si>
  <si>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</si>
  <si>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</si>
  <si>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</si>
  <si>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</si>
  <si>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</si>
  <si>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</si>
  <si>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</si>
  <si>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</si>
  <si>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</si>
  <si>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</si>
  <si>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</si>
  <si>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</si>
  <si>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</si>
  <si>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</si>
  <si>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</si>
  <si>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</si>
  <si>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</si>
  <si>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</si>
  <si>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</si>
  <si>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</si>
  <si>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</si>
  <si>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</si>
  <si>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</si>
  <si>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</si>
  <si>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</si>
  <si>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</si>
  <si>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</si>
  <si>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</si>
  <si>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</si>
  <si>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</si>
  <si>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</si>
  <si>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</si>
  <si>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</si>
  <si>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</si>
  <si>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</si>
  <si>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</si>
  <si>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</si>
  <si>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</si>
  <si>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</si>
  <si>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</si>
  <si>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</si>
  <si>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</si>
  <si>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</si>
  <si>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</si>
  <si>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</si>
  <si>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</si>
  <si>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</si>
  <si>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</si>
  <si>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</si>
  <si>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</si>
  <si>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</si>
  <si>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</si>
  <si>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</si>
  <si>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</si>
  <si>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</si>
  <si>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</si>
  <si>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</si>
  <si>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</si>
  <si>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</si>
  <si>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</si>
  <si>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</si>
  <si>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</si>
  <si>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</si>
  <si>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</si>
  <si>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</si>
  <si>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</si>
  <si>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</si>
  <si>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</si>
  <si>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</si>
  <si>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</si>
  <si>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</si>
  <si>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</si>
  <si>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</si>
  <si>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</si>
  <si>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</si>
  <si>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</si>
  <si>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</si>
  <si>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</si>
  <si>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</si>
  <si>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</si>
  <si>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</si>
  <si>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</si>
  <si>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</si>
  <si>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</si>
  <si>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</si>
  <si>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</si>
  <si>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</si>
  <si>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</si>
  <si>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</si>
  <si>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</si>
  <si>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</si>
  <si>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</si>
  <si>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</si>
  <si>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</si>
  <si>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</si>
  <si>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</si>
  <si>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</si>
  <si>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</si>
  <si>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</si>
  <si>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</si>
  <si>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</si>
  <si>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</si>
  <si>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</si>
  <si>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</si>
  <si>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</si>
  <si>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</si>
  <si>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</si>
  <si>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</si>
  <si>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</si>
  <si>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</si>
  <si>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</si>
  <si>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</si>
  <si>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</si>
  <si>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</si>
  <si>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</si>
  <si>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</si>
  <si>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</si>
  <si>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</si>
  <si>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</si>
  <si>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</si>
  <si>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</si>
  <si>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</si>
  <si>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</si>
  <si>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</si>
  <si>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</si>
  <si>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</si>
  <si>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</si>
  <si>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</si>
  <si>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</si>
  <si>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</si>
  <si>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</si>
  <si>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</si>
  <si>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</si>
  <si>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</si>
  <si>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</si>
  <si>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</si>
  <si>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</si>
  <si>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</si>
  <si>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</si>
  <si>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</si>
  <si>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</si>
  <si>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</si>
  <si>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</si>
  <si>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</si>
  <si>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</si>
  <si>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</si>
  <si>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</si>
  <si>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</si>
  <si>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</si>
  <si>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</si>
  <si>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</si>
  <si>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</si>
  <si>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</si>
  <si>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</si>
  <si>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</si>
  <si>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</si>
  <si>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</si>
  <si>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</si>
  <si>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</si>
  <si>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</si>
  <si>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</si>
  <si>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</si>
  <si>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</si>
  <si>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</si>
  <si>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</si>
  <si>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</si>
  <si>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</si>
  <si>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</si>
  <si>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</si>
  <si>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</si>
  <si>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</si>
  <si>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</si>
  <si>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</si>
  <si>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</si>
  <si>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</si>
  <si>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</si>
  <si>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</si>
  <si>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</si>
  <si>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</si>
  <si>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</si>
  <si>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</si>
  <si>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</si>
  <si>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</si>
  <si>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</si>
  <si>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</si>
  <si>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</si>
  <si>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</si>
  <si>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</si>
  <si>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</si>
  <si>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</si>
  <si>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</si>
  <si>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</si>
  <si>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</si>
  <si>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</si>
  <si>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</si>
  <si>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</si>
  <si>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</si>
  <si>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</si>
  <si>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</si>
  <si>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</si>
  <si>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</si>
  <si>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</si>
  <si>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</si>
  <si>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</si>
  <si>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</si>
  <si>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</si>
  <si>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</si>
  <si>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</si>
  <si>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</si>
  <si>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</si>
  <si>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</si>
  <si>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</si>
  <si>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</si>
  <si>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</si>
  <si>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</si>
  <si>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</si>
  <si>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</si>
  <si>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</si>
  <si>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</si>
  <si>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</si>
  <si>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</si>
  <si>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</si>
  <si>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</si>
  <si>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</si>
  <si>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</si>
  <si>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</si>
  <si>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</si>
  <si>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</si>
  <si>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</si>
  <si>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</si>
  <si>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</si>
  <si>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</si>
  <si>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</si>
  <si>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</si>
  <si>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</si>
  <si>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</si>
  <si>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</si>
  <si>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</si>
  <si>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</si>
  <si>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</si>
  <si>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</si>
  <si>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</si>
  <si>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</si>
  <si>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</si>
  <si>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</si>
  <si>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</si>
  <si>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</si>
  <si>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</si>
  <si>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</si>
  <si>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</si>
  <si>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</si>
  <si>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</si>
  <si>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</si>
  <si>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</si>
  <si>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</si>
  <si>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</si>
  <si>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</si>
  <si>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</si>
  <si>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</si>
  <si>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</si>
  <si>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</si>
  <si>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</si>
  <si>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</si>
  <si>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</si>
  <si>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</si>
  <si>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</si>
  <si>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</si>
  <si>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</si>
  <si>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</si>
  <si>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</si>
  <si>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</si>
  <si>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</si>
  <si>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</si>
  <si>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</si>
  <si>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</si>
  <si>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</si>
  <si>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</si>
  <si>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</si>
  <si>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</si>
  <si>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</si>
  <si>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</si>
  <si>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</si>
  <si>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</si>
  <si>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</si>
  <si>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</si>
  <si>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</si>
  <si>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</si>
  <si>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</si>
  <si>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</si>
  <si>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</si>
  <si>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</si>
  <si>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</si>
  <si>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</si>
  <si>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</si>
  <si>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</si>
  <si>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</si>
  <si>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</si>
  <si>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</si>
  <si>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</si>
  <si>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</si>
  <si>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</si>
  <si>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</si>
  <si>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</si>
  <si>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</si>
  <si>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</si>
  <si>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</si>
  <si>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</si>
  <si>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</si>
  <si>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</si>
  <si>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</si>
  <si>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</si>
  <si>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</si>
  <si>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</si>
  <si>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</si>
  <si>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</si>
  <si>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</si>
  <si>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</si>
  <si>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</si>
  <si>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</si>
  <si>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</si>
  <si>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</si>
  <si>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</si>
  <si>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</si>
  <si>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</si>
  <si>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</si>
  <si>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</si>
  <si>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</si>
  <si>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</si>
  <si>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</si>
  <si>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</si>
  <si>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</si>
  <si>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</si>
  <si>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</si>
  <si>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</si>
  <si>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</si>
  <si>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</si>
  <si>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</si>
  <si>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</si>
  <si>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</si>
  <si>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</si>
  <si>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</si>
  <si>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</si>
  <si>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</si>
  <si>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</si>
  <si>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</si>
  <si>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</si>
  <si>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</si>
  <si>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</si>
  <si>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</si>
  <si>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</si>
  <si>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</si>
  <si>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</si>
  <si>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</si>
  <si>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</si>
  <si>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</si>
  <si>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</si>
  <si>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</si>
  <si>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</si>
  <si>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</si>
  <si>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</si>
  <si>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</si>
  <si>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</si>
  <si>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</si>
  <si>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</si>
  <si>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</si>
  <si>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</si>
  <si>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</si>
  <si>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</si>
  <si>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</si>
  <si>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</si>
  <si>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</si>
  <si>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</si>
  <si>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</si>
  <si>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</si>
  <si>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</si>
  <si>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</si>
  <si>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</si>
  <si>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</si>
  <si>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</si>
  <si>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</si>
  <si>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</si>
  <si>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</si>
  <si>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</si>
  <si>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</si>
  <si>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</si>
  <si>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</si>
  <si>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</si>
  <si>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</si>
  <si>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</si>
  <si>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</si>
  <si>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</si>
  <si>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</si>
  <si>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</si>
  <si>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</si>
  <si>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</si>
  <si>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</si>
  <si>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</si>
  <si>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</si>
  <si>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</si>
  <si>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</si>
  <si>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</si>
  <si>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</si>
  <si>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</si>
  <si>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</si>
  <si>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</si>
  <si>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</si>
  <si>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</si>
  <si>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</si>
  <si>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</si>
  <si>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</si>
  <si>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</si>
  <si>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</si>
  <si>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</si>
  <si>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</si>
  <si>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</si>
  <si>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</si>
  <si>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</si>
  <si>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</si>
  <si>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</si>
  <si>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</si>
  <si>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</si>
  <si>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</si>
  <si>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</si>
  <si>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</si>
  <si>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</si>
  <si>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</si>
  <si>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</si>
  <si>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</si>
  <si>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</si>
  <si>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</si>
  <si>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</si>
  <si>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</si>
  <si>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</si>
  <si>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</si>
  <si>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</si>
  <si>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</si>
  <si>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</si>
  <si>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</si>
  <si>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</si>
  <si>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</si>
  <si>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</si>
  <si>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</si>
  <si>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</si>
  <si>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</si>
  <si>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</si>
  <si>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</si>
  <si>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</si>
  <si>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</si>
  <si>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</si>
  <si>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</si>
  <si>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</si>
  <si>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</si>
  <si>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</si>
  <si>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</si>
  <si>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</si>
  <si>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</si>
  <si>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</si>
  <si>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</si>
  <si>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</si>
  <si>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</si>
  <si>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</si>
  <si>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</si>
  <si>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</si>
  <si>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</si>
  <si>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</si>
  <si>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</si>
  <si>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</si>
  <si>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</si>
  <si>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</si>
  <si>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</si>
  <si>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</si>
  <si>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</si>
  <si>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</si>
  <si>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</si>
  <si>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</si>
  <si>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</si>
  <si>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</si>
  <si>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</si>
  <si>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</si>
  <si>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</si>
  <si>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</si>
  <si>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</si>
  <si>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</si>
  <si>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</si>
  <si>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</si>
  <si>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</si>
  <si>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</si>
  <si>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</si>
  <si>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</si>
  <si>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</si>
  <si>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</si>
  <si>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</si>
  <si>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</si>
  <si>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</si>
  <si>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</si>
  <si>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</si>
  <si>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</si>
  <si>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</si>
  <si>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</si>
  <si>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</si>
  <si>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</si>
  <si>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</si>
  <si>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</si>
  <si>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</si>
  <si>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</si>
  <si>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</si>
  <si>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</si>
  <si>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</si>
  <si>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</si>
  <si>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</si>
  <si>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</si>
  <si>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</si>
  <si>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</si>
  <si>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</si>
  <si>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</si>
  <si>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</si>
  <si>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</si>
  <si>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</si>
  <si>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</si>
  <si>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</si>
  <si>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</si>
  <si>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</si>
  <si>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</si>
  <si>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</si>
  <si>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</si>
  <si>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</si>
  <si>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</si>
  <si>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</si>
  <si>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</si>
  <si>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</si>
  <si>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</si>
  <si>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</si>
  <si>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</si>
  <si>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</si>
  <si>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</si>
  <si>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</si>
  <si>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</si>
  <si>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</si>
  <si>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</si>
  <si>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</si>
  <si>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</si>
  <si>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</si>
  <si>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</si>
  <si>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</si>
  <si>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</si>
  <si>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</si>
  <si>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</si>
  <si>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</si>
  <si>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</si>
  <si>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</si>
  <si>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</si>
  <si>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</si>
  <si>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</si>
  <si>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</si>
  <si>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</si>
  <si>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</si>
  <si>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</si>
  <si>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</si>
  <si>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</si>
  <si>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</si>
  <si>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</si>
  <si>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</si>
  <si>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</si>
  <si>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</si>
  <si>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</si>
  <si>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</si>
  <si>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</si>
  <si>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</si>
  <si>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</si>
  <si>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</si>
  <si>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</si>
  <si>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</si>
  <si>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</si>
  <si>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</si>
  <si>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</si>
  <si>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</si>
  <si>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</si>
  <si>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</si>
  <si>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</si>
  <si>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</si>
  <si>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</si>
  <si>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</si>
  <si>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</si>
  <si>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</si>
  <si>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</si>
  <si>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</si>
  <si>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</si>
  <si>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</si>
  <si>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</si>
  <si>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</si>
  <si>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</si>
  <si>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</si>
  <si>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</si>
  <si>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</si>
  <si>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</si>
  <si>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</si>
  <si>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</si>
  <si>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</si>
  <si>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</si>
  <si>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</si>
  <si>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</si>
  <si>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</si>
  <si>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</si>
  <si>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</si>
  <si>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</si>
  <si>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</si>
  <si>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</si>
  <si>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</si>
  <si>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</si>
  <si>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</si>
  <si>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</si>
  <si>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</si>
  <si>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</si>
  <si>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</si>
  <si>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</si>
  <si>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</si>
  <si>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</si>
  <si>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</si>
  <si>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</si>
  <si>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</si>
  <si>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</si>
  <si>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</si>
  <si>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</si>
  <si>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</si>
  <si>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</si>
  <si>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</si>
  <si>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</si>
  <si>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</si>
  <si>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</si>
  <si>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</si>
  <si>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</si>
  <si>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</si>
  <si>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</si>
  <si>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</si>
  <si>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</si>
  <si>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</si>
  <si>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</si>
  <si>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</si>
  <si>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</si>
  <si>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</si>
  <si>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</si>
  <si>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</si>
  <si>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</si>
  <si>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</si>
  <si>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</si>
  <si>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</si>
  <si>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</si>
  <si>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</si>
  <si>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</si>
  <si>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</si>
  <si>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</si>
  <si>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</si>
  <si>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</si>
  <si>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</si>
  <si>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</si>
  <si>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</si>
  <si>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</si>
  <si>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</si>
  <si>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</si>
  <si>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</si>
  <si>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</si>
  <si>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</si>
  <si>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</si>
  <si>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</si>
  <si>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</si>
  <si>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</si>
  <si>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</si>
  <si>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</si>
  <si>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</si>
  <si>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</si>
  <si>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</si>
  <si>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</si>
  <si>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</si>
  <si>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</si>
  <si>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</si>
  <si>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</si>
  <si>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</si>
  <si>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</si>
  <si>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</si>
  <si>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</si>
  <si>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</si>
  <si>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</si>
  <si>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</si>
  <si>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</si>
  <si>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</si>
  <si>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</si>
  <si>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</si>
  <si>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</si>
  <si>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</si>
  <si>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</si>
  <si>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</si>
  <si>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</si>
  <si>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</si>
  <si>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</si>
  <si>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</si>
  <si>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</si>
  <si>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</si>
  <si>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</si>
  <si>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</si>
  <si>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</si>
  <si>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</si>
  <si>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</si>
  <si>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</si>
  <si>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</si>
  <si>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</si>
  <si>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</si>
  <si>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</si>
  <si>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</si>
  <si>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</si>
  <si>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</si>
  <si>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</si>
  <si>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</si>
  <si>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</si>
  <si>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</si>
  <si>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</si>
  <si>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</si>
  <si>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</si>
  <si>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</si>
  <si>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</si>
  <si>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</si>
  <si>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</si>
  <si>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</si>
  <si>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</si>
  <si>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</si>
  <si>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</si>
  <si>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</si>
  <si>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</si>
  <si>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</si>
  <si>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</si>
  <si>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</si>
  <si>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</si>
  <si>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</si>
  <si>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</si>
  <si>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</si>
  <si>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</si>
  <si>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</si>
  <si>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</si>
  <si>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</si>
  <si>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</si>
  <si>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</si>
  <si>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</si>
  <si>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</si>
  <si>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</si>
  <si>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</si>
  <si>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</si>
  <si>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</si>
  <si>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</si>
  <si>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</si>
  <si>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</si>
  <si>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</si>
  <si>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</si>
  <si>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</si>
  <si>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</si>
  <si>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</si>
  <si>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</si>
  <si>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</si>
  <si>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</si>
  <si>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</si>
  <si>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</si>
  <si>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</si>
  <si>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</si>
  <si>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</si>
  <si>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</si>
  <si>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</si>
  <si>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</si>
  <si>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</si>
  <si>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</si>
  <si>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</si>
  <si>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</si>
  <si>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</si>
  <si>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</si>
  <si>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</si>
  <si>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</si>
  <si>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</si>
  <si>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</si>
  <si>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</si>
  <si>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</si>
  <si>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</si>
  <si>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</si>
  <si>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</si>
  <si>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</si>
  <si>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</si>
  <si>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</si>
  <si>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</si>
  <si>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</si>
  <si>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</si>
  <si>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</si>
  <si>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</si>
  <si>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</si>
  <si>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</si>
  <si>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</si>
  <si>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</si>
  <si>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</si>
  <si>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</si>
  <si>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</si>
  <si>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</si>
  <si>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</si>
  <si>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</si>
  <si>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</si>
  <si>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</si>
  <si>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</si>
  <si>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</si>
  <si>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</si>
  <si>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</si>
  <si>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</si>
  <si>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</si>
  <si>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</si>
  <si>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</si>
  <si>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</si>
  <si>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</si>
  <si>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</si>
  <si>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</si>
  <si>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</si>
  <si>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</si>
  <si>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</si>
  <si>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</si>
  <si>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</si>
  <si>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</si>
  <si>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</si>
  <si>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</si>
  <si>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</si>
  <si>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</si>
  <si>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</si>
  <si>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</si>
  <si>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</si>
  <si>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</si>
  <si>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</si>
  <si>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</si>
  <si>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</si>
  <si>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</si>
  <si>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</si>
  <si>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</si>
  <si>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</si>
  <si>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</si>
  <si>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</si>
  <si>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</si>
  <si>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</si>
  <si>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</si>
  <si>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</si>
  <si>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</si>
  <si>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</si>
  <si>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</si>
  <si>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</si>
  <si>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</si>
  <si>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</si>
  <si>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</si>
  <si>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</si>
  <si>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</si>
  <si>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</si>
  <si>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</si>
  <si>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</si>
  <si>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</si>
  <si>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</si>
  <si>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</si>
  <si>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</si>
  <si>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</si>
  <si>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</si>
  <si>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</si>
  <si>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</si>
  <si>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</si>
  <si>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</si>
  <si>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</si>
  <si>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</si>
  <si>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</si>
  <si>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</si>
  <si>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</si>
  <si>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</si>
  <si>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</si>
  <si>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</si>
  <si>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</si>
  <si>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</si>
  <si>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</si>
  <si>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</si>
  <si>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</si>
  <si>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</si>
  <si>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</si>
  <si>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</si>
  <si>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</si>
  <si>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</si>
  <si>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</si>
  <si>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</si>
  <si>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</si>
  <si>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</si>
  <si>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</si>
  <si>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</si>
  <si>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</si>
  <si>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</si>
  <si>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</si>
  <si>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</si>
  <si>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</si>
  <si>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</si>
  <si>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</si>
  <si>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</si>
  <si>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</si>
  <si>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</si>
  <si>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</si>
  <si>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</si>
  <si>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</si>
  <si>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</si>
  <si>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</si>
  <si>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</si>
  <si>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</si>
  <si>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</si>
  <si>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</si>
  <si>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</si>
  <si>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</si>
  <si>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</si>
  <si>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</si>
  <si>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</si>
  <si>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Count of TX ID</t>
  </si>
  <si>
    <t>Sum of Quantity</t>
  </si>
  <si>
    <t>Sum of Amount</t>
  </si>
  <si>
    <t>Average of Rating C</t>
  </si>
  <si>
    <t>Average of Days to Deliver</t>
  </si>
  <si>
    <t>Values for Display</t>
  </si>
  <si>
    <t>Avg. Days</t>
  </si>
  <si>
    <t>Qty</t>
  </si>
  <si>
    <t>For Trends</t>
  </si>
  <si>
    <t>Column Labels</t>
  </si>
  <si>
    <t>Female</t>
  </si>
  <si>
    <t>For Matrix</t>
  </si>
  <si>
    <t>6 to 10</t>
  </si>
  <si>
    <t>More than 10</t>
  </si>
  <si>
    <t>California Total</t>
  </si>
  <si>
    <t>Map Chart Stuff (Qty)</t>
  </si>
  <si>
    <t>Map Chart Stuff (Amount)</t>
  </si>
  <si>
    <t>Coustomer Satisfaction</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</si>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</sst>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7"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4">
    <border>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167" fontId="0" fillId="0" borderId="3" xfId="0" applyNumberFormat="1" applyBorder="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 Trends - Qty &amp; Amount</a:t>
            </a:r>
            <a:endParaRPr lang="en-US"/>
          </a:p>
        </c:rich>
      </c:tx>
      <c:layout>
        <c:manualLayout>
          <c:xMode val="edge"/>
          <c:yMode val="edge"/>
          <c:x val="0.14195013300318762"/>
          <c:y val="0.776762339052093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5634116600237"/>
          <c:y val="6.0627670821492084E-2"/>
          <c:w val="0.74477535598369238"/>
          <c:h val="0.84088376122171915"/>
        </c:manualLayout>
      </c:layout>
      <c:lineChart>
        <c:grouping val="standard"/>
        <c:varyColors val="0"/>
        <c:ser>
          <c:idx val="0"/>
          <c:order val="0"/>
          <c:tx>
            <c:strRef>
              <c:f>Pivots!$B$11</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Cache>
            </c:numRef>
          </c:val>
          <c:smooth val="0"/>
          <c:extLst>
            <c:ext xmlns:c16="http://schemas.microsoft.com/office/drawing/2014/chart" uri="{C3380CC4-5D6E-409C-BE32-E72D297353CC}">
              <c16:uniqueId val="{00000000-C95A-4011-81EF-25D0F38F75BE}"/>
            </c:ext>
          </c:extLst>
        </c:ser>
        <c:dLbls>
          <c:showLegendKey val="0"/>
          <c:showVal val="0"/>
          <c:showCatName val="0"/>
          <c:showSerName val="0"/>
          <c:showPercent val="0"/>
          <c:showBubbleSize val="0"/>
        </c:dLbls>
        <c:marker val="1"/>
        <c:smooth val="0"/>
        <c:axId val="1456616479"/>
        <c:axId val="1456617439"/>
      </c:lineChart>
      <c:lineChart>
        <c:grouping val="standard"/>
        <c:varyColors val="0"/>
        <c:ser>
          <c:idx val="1"/>
          <c:order val="1"/>
          <c:tx>
            <c:strRef>
              <c:f>Pivots!$C$11</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"$"#,##0</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9693.5999999999985</c:v>
                </c:pt>
                <c:pt idx="10">
                  <c:v>5402.7999999999993</c:v>
                </c:pt>
                <c:pt idx="11">
                  <c:v>10369.700000000001</c:v>
                </c:pt>
                <c:pt idx="12">
                  <c:v>7001.9000000000005</c:v>
                </c:pt>
              </c:numCache>
            </c:numRef>
          </c:val>
          <c:smooth val="0"/>
          <c:extLst>
            <c:ext xmlns:c16="http://schemas.microsoft.com/office/drawing/2014/chart" uri="{C3380CC4-5D6E-409C-BE32-E72D297353CC}">
              <c16:uniqueId val="{00000001-C95A-4011-81EF-25D0F38F75BE}"/>
            </c:ext>
          </c:extLst>
        </c:ser>
        <c:dLbls>
          <c:showLegendKey val="0"/>
          <c:showVal val="0"/>
          <c:showCatName val="0"/>
          <c:showSerName val="0"/>
          <c:showPercent val="0"/>
          <c:showBubbleSize val="0"/>
        </c:dLbls>
        <c:marker val="1"/>
        <c:smooth val="0"/>
        <c:axId val="1456634239"/>
        <c:axId val="1456623679"/>
      </c:lineChart>
      <c:catAx>
        <c:axId val="14566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17439"/>
        <c:crosses val="autoZero"/>
        <c:auto val="1"/>
        <c:lblAlgn val="ctr"/>
        <c:lblOffset val="100"/>
        <c:noMultiLvlLbl val="0"/>
      </c:catAx>
      <c:valAx>
        <c:axId val="145661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16479"/>
        <c:crosses val="autoZero"/>
        <c:crossBetween val="between"/>
      </c:valAx>
      <c:valAx>
        <c:axId val="1456623679"/>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34239"/>
        <c:crosses val="max"/>
        <c:crossBetween val="between"/>
      </c:valAx>
      <c:catAx>
        <c:axId val="1456634239"/>
        <c:scaling>
          <c:orientation val="minMax"/>
        </c:scaling>
        <c:delete val="1"/>
        <c:axPos val="b"/>
        <c:numFmt formatCode="General" sourceLinked="1"/>
        <c:majorTickMark val="none"/>
        <c:minorTickMark val="none"/>
        <c:tickLblPos val="nextTo"/>
        <c:crossAx val="145662367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[ecommerce-blank.xlsx]Sheet4!pvtQty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FB8F-4E81-AA55-61F97A81C30B}"/>
            </c:ext>
          </c:extLst>
        </c:ser>
        <c:dLbls>
          <c:showLegendKey val="0"/>
          <c:showVal val="0"/>
          <c:showCatName val="0"/>
          <c:showSerName val="0"/>
          <c:showPercent val="0"/>
          <c:showBubbleSize val="0"/>
        </c:dLbls>
        <c:gapWidth val="0"/>
        <c:overlap val="-27"/>
        <c:axId val="1456634719"/>
        <c:axId val="1456631839"/>
      </c:barChart>
      <c:catAx>
        <c:axId val="145663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31839"/>
        <c:crosses val="autoZero"/>
        <c:auto val="1"/>
        <c:lblAlgn val="ctr"/>
        <c:lblOffset val="100"/>
        <c:noMultiLvlLbl val="0"/>
      </c:catAx>
      <c:valAx>
        <c:axId val="145663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6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[ecommerce-blank.xlsx]Sheet5!pvtProduct</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Whic</a:t>
            </a:r>
            <a:r>
              <a:rPr lang="en-US" baseline="0"/>
              <a:t>h Products are Popular? by Gender</a:t>
            </a:r>
            <a:endParaRPr lang="en-US"/>
          </a:p>
        </c:rich>
      </c:tx>
      <c:layout>
        <c:manualLayout>
          <c:xMode val="edge"/>
          <c:yMode val="edge"/>
          <c:x val="0.13873254748481884"/>
          <c:y val="2.091948206656809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6"/>
            </a:solidFill>
            <a:ln>
              <a:noFill/>
            </a:ln>
            <a:effectLst/>
          </c:spPr>
          <c:invertIfNegative val="0"/>
          <c:cat>
            <c:strRef>
              <c:f>Sheet5!$A$5:$A$25</c:f>
              <c:strCache>
                <c:ptCount val="20"/>
                <c:pt idx="0">
                  <c:v>Jeans</c:v>
                </c:pt>
                <c:pt idx="1">
                  <c:v>Sneakers</c:v>
                </c:pt>
                <c:pt idx="2">
                  <c:v>T-Shirts</c:v>
                </c:pt>
                <c:pt idx="3">
                  <c:v>Tank Tops</c:v>
                </c:pt>
                <c:pt idx="4">
                  <c:v>Sundresses</c:v>
                </c:pt>
                <c:pt idx="5">
                  <c:v>Shorts</c:v>
                </c:pt>
                <c:pt idx="6">
                  <c:v>Graphic Tees</c:v>
                </c:pt>
                <c:pt idx="7">
                  <c:v>Bikinis</c:v>
                </c:pt>
                <c:pt idx="8">
                  <c:v>Sandals</c:v>
                </c:pt>
                <c:pt idx="9">
                  <c:v>Hoodies &amp; Sweatshirts</c:v>
                </c:pt>
                <c:pt idx="10">
                  <c:v>Casual Dresses</c:v>
                </c:pt>
                <c:pt idx="11">
                  <c:v>Leggings</c:v>
                </c:pt>
                <c:pt idx="12">
                  <c:v>Crop Tops</c:v>
                </c:pt>
                <c:pt idx="13">
                  <c:v>Workout Tops</c:v>
                </c:pt>
                <c:pt idx="14">
                  <c:v>Maxi Dresses</c:v>
                </c:pt>
                <c:pt idx="15">
                  <c:v>Sunglasses</c:v>
                </c:pt>
                <c:pt idx="16">
                  <c:v>Tote Bags</c:v>
                </c:pt>
                <c:pt idx="17">
                  <c:v>Pajama Sets</c:v>
                </c:pt>
                <c:pt idx="18">
                  <c:v>Baseball Caps</c:v>
                </c:pt>
                <c:pt idx="19">
                  <c:v>Jewelry</c:v>
                </c:pt>
              </c:strCache>
            </c:strRef>
          </c:cat>
          <c:val>
            <c:numRef>
              <c:f>Sheet5!$B$5:$B$25</c:f>
              <c:numCache>
                <c:formatCode>General</c:formatCode>
                <c:ptCount val="20"/>
                <c:pt idx="0">
                  <c:v>318</c:v>
                </c:pt>
                <c:pt idx="1">
                  <c:v>266</c:v>
                </c:pt>
                <c:pt idx="2">
                  <c:v>240</c:v>
                </c:pt>
                <c:pt idx="3">
                  <c:v>192</c:v>
                </c:pt>
                <c:pt idx="4">
                  <c:v>164</c:v>
                </c:pt>
                <c:pt idx="5">
                  <c:v>163</c:v>
                </c:pt>
                <c:pt idx="6">
                  <c:v>152</c:v>
                </c:pt>
                <c:pt idx="7">
                  <c:v>152</c:v>
                </c:pt>
                <c:pt idx="8">
                  <c:v>116</c:v>
                </c:pt>
                <c:pt idx="9">
                  <c:v>96</c:v>
                </c:pt>
                <c:pt idx="10">
                  <c:v>84</c:v>
                </c:pt>
                <c:pt idx="11">
                  <c:v>72</c:v>
                </c:pt>
                <c:pt idx="12">
                  <c:v>61</c:v>
                </c:pt>
                <c:pt idx="13">
                  <c:v>39</c:v>
                </c:pt>
                <c:pt idx="14">
                  <c:v>37</c:v>
                </c:pt>
                <c:pt idx="15">
                  <c:v>35</c:v>
                </c:pt>
                <c:pt idx="16">
                  <c:v>22</c:v>
                </c:pt>
                <c:pt idx="17">
                  <c:v>17</c:v>
                </c:pt>
                <c:pt idx="18">
                  <c:v>11</c:v>
                </c:pt>
                <c:pt idx="19">
                  <c:v>3</c:v>
                </c:pt>
              </c:numCache>
            </c:numRef>
          </c:val>
          <c:extLst>
            <c:ext xmlns:c16="http://schemas.microsoft.com/office/drawing/2014/chart" uri="{C3380CC4-5D6E-409C-BE32-E72D297353CC}">
              <c16:uniqueId val="{00000000-C99C-487D-87BF-456E27318034}"/>
            </c:ext>
          </c:extLst>
        </c:ser>
        <c:dLbls>
          <c:showLegendKey val="0"/>
          <c:showVal val="0"/>
          <c:showCatName val="0"/>
          <c:showSerName val="0"/>
          <c:showPercent val="0"/>
          <c:showBubbleSize val="0"/>
        </c:dLbls>
        <c:gapWidth val="150"/>
        <c:overlap val="100"/>
        <c:axId val="1666183711"/>
        <c:axId val="1666173631"/>
      </c:barChart>
      <c:catAx>
        <c:axId val="166618371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3631"/>
        <c:crosses val="autoZero"/>
        <c:auto val="1"/>
        <c:lblAlgn val="ctr"/>
        <c:lblOffset val="100"/>
        <c:noMultiLvlLbl val="0"/>
      </c:catAx>
      <c:valAx>
        <c:axId val="16661736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8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[ecommerce-blank.xlsx]Sheet5!pvtGender</c:name>
    <c:fmtId val="9"/>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5401311137477677"/>
              <c:y val="0.329540542807191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73411713946715"/>
                  <c:h val="0.30024063118915678"/>
                </c:manualLayout>
              </c15:layout>
            </c:ext>
          </c:extLst>
        </c:dLbl>
      </c:pivotFmt>
      <c:pivotFmt>
        <c:idx val="8"/>
        <c:spPr>
          <a:solidFill>
            <a:schemeClr val="accent6"/>
          </a:solidFill>
          <a:ln w="19050">
            <a:solidFill>
              <a:schemeClr val="lt1"/>
            </a:solidFill>
          </a:ln>
          <a:effectLst/>
        </c:spPr>
        <c:dLbl>
          <c:idx val="0"/>
          <c:layout>
            <c:manualLayout>
              <c:x val="-0.18326322223420702"/>
              <c:y val="0.2655466779348296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39288582077925"/>
                  <c:h val="0.33798924578572859"/>
                </c:manualLayout>
              </c15:layout>
            </c:ext>
          </c:extLst>
        </c:dLbl>
      </c:pivotFmt>
      <c:pivotFmt>
        <c:idx val="9"/>
        <c:spPr>
          <a:solidFill>
            <a:schemeClr val="accent6"/>
          </a:solidFill>
          <a:ln w="19050">
            <a:solidFill>
              <a:schemeClr val="lt1"/>
            </a:solidFill>
          </a:ln>
          <a:effectLst/>
        </c:spPr>
        <c:dLbl>
          <c:idx val="0"/>
          <c:layout>
            <c:manualLayout>
              <c:x val="-0.28688233320150047"/>
              <c:y val="-8.96927759033346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650301784441501"/>
                  <c:h val="0.26277884066390866"/>
                </c:manualLayout>
              </c15:layout>
            </c:ext>
          </c:extLst>
        </c:dLbl>
      </c:pivotFmt>
      <c:pivotFmt>
        <c:idx val="10"/>
        <c:spPr>
          <a:solidFill>
            <a:schemeClr val="accent6"/>
          </a:solidFill>
          <a:ln w="19050">
            <a:solidFill>
              <a:schemeClr val="lt1"/>
            </a:solidFill>
          </a:ln>
          <a:effectLst/>
        </c:spPr>
        <c:dLbl>
          <c:idx val="0"/>
          <c:layout>
            <c:manualLayout>
              <c:x val="0.37517377964740711"/>
              <c:y val="-6.56881213348902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601528038575877"/>
                  <c:h val="0.29670215927265198"/>
                </c:manualLayout>
              </c15:layout>
            </c:ext>
          </c:extLst>
        </c:dLbl>
      </c:pivotFmt>
    </c:pivotFmts>
    <c:plotArea>
      <c:layout/>
      <c:doughnutChart>
        <c:varyColors val="1"/>
        <c:ser>
          <c:idx val="0"/>
          <c:order val="0"/>
          <c:tx>
            <c:strRef>
              <c:f>Sheet5!$K$3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93D-4B00-A6C9-7994FB995FD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93D-4B00-A6C9-7994FB995FD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93D-4B00-A6C9-7994FB995FDA}"/>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B93D-4B00-A6C9-7994FB995FDA}"/>
              </c:ext>
            </c:extLst>
          </c:dPt>
          <c:dLbls>
            <c:dLbl>
              <c:idx val="0"/>
              <c:layout>
                <c:manualLayout>
                  <c:x val="0.15401311137477677"/>
                  <c:y val="0.329540542807191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73411713946715"/>
                      <c:h val="0.30024063118915678"/>
                    </c:manualLayout>
                  </c15:layout>
                </c:ext>
                <c:ext xmlns:c16="http://schemas.microsoft.com/office/drawing/2014/chart" uri="{C3380CC4-5D6E-409C-BE32-E72D297353CC}">
                  <c16:uniqueId val="{00000001-B93D-4B00-A6C9-7994FB995F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Sheet5!$J$4:$J$5</c:f>
              <c:strCache>
                <c:ptCount val="1"/>
                <c:pt idx="0">
                  <c:v>Female</c:v>
                </c:pt>
              </c:strCache>
            </c:strRef>
          </c:cat>
          <c:val>
            <c:numRef>
              <c:f>Sheet5!$K$4:$K$5</c:f>
              <c:numCache>
                <c:formatCode>General</c:formatCode>
                <c:ptCount val="1"/>
                <c:pt idx="0">
                  <c:v>2240</c:v>
                </c:pt>
              </c:numCache>
            </c:numRef>
          </c:val>
          <c:extLst>
            <c:ext xmlns:c16="http://schemas.microsoft.com/office/drawing/2014/chart" uri="{C3380CC4-5D6E-409C-BE32-E72D297353CC}">
              <c16:uniqueId val="{00000008-B93D-4B00-A6C9-7994FB995F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[ecommerce-blank.xlsx]Sheet7!pvtDuration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6"/>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29</c:v>
                </c:pt>
                <c:pt idx="1">
                  <c:v>155</c:v>
                </c:pt>
                <c:pt idx="2">
                  <c:v>100</c:v>
                </c:pt>
                <c:pt idx="3">
                  <c:v>67</c:v>
                </c:pt>
                <c:pt idx="4">
                  <c:v>40</c:v>
                </c:pt>
                <c:pt idx="5">
                  <c:v>24</c:v>
                </c:pt>
                <c:pt idx="6">
                  <c:v>10</c:v>
                </c:pt>
                <c:pt idx="7">
                  <c:v>4</c:v>
                </c:pt>
                <c:pt idx="8">
                  <c:v>11</c:v>
                </c:pt>
                <c:pt idx="9">
                  <c:v>1</c:v>
                </c:pt>
                <c:pt idx="10">
                  <c:v>1</c:v>
                </c:pt>
                <c:pt idx="11">
                  <c:v>4</c:v>
                </c:pt>
                <c:pt idx="12">
                  <c:v>2</c:v>
                </c:pt>
                <c:pt idx="13">
                  <c:v>3</c:v>
                </c:pt>
                <c:pt idx="14">
                  <c:v>5</c:v>
                </c:pt>
              </c:numCache>
            </c:numRef>
          </c:val>
          <c:extLst>
            <c:ext xmlns:c16="http://schemas.microsoft.com/office/drawing/2014/chart" uri="{C3380CC4-5D6E-409C-BE32-E72D297353CC}">
              <c16:uniqueId val="{00000000-909D-4CD3-AD43-42F5FB068C94}"/>
            </c:ext>
          </c:extLst>
        </c:ser>
        <c:dLbls>
          <c:showLegendKey val="0"/>
          <c:showVal val="0"/>
          <c:showCatName val="0"/>
          <c:showSerName val="0"/>
          <c:showPercent val="0"/>
          <c:showBubbleSize val="0"/>
        </c:dLbls>
        <c:gapWidth val="219"/>
        <c:overlap val="-27"/>
        <c:axId val="1677721711"/>
        <c:axId val="1677706831"/>
      </c:barChart>
      <c:catAx>
        <c:axId val="16777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06831"/>
        <c:crosses val="autoZero"/>
        <c:auto val="1"/>
        <c:lblAlgn val="ctr"/>
        <c:lblOffset val="100"/>
        <c:noMultiLvlLbl val="0"/>
      </c:catAx>
      <c:valAx>
        <c:axId val="167770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2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[ecommerce-blank.xlsx]Sheet7!pvtRating</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satisfied are our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Sheet7!$G$3:$G$4</c:f>
              <c:strCache>
                <c:ptCount val="1"/>
                <c:pt idx="0">
                  <c:v>1</c:v>
                </c:pt>
              </c:strCache>
            </c:strRef>
          </c:tx>
          <c:spPr>
            <a:solidFill>
              <a:schemeClr val="accent6"/>
            </a:solidFill>
            <a:ln>
              <a:noFill/>
            </a:ln>
            <a:effectLst/>
          </c:spPr>
          <c:invertIfNegative val="0"/>
          <c:cat>
            <c:strRef>
              <c:f>Sheet7!$F$5:$F$8</c:f>
              <c:strCache>
                <c:ptCount val="3"/>
                <c:pt idx="0">
                  <c:v>Jan</c:v>
                </c:pt>
                <c:pt idx="1">
                  <c:v>Feb</c:v>
                </c:pt>
                <c:pt idx="2">
                  <c:v>Mar</c:v>
                </c:pt>
              </c:strCache>
            </c:strRef>
          </c:cat>
          <c:val>
            <c:numRef>
              <c:f>Sheet7!$G$5:$G$8</c:f>
              <c:numCache>
                <c:formatCode>General</c:formatCode>
                <c:ptCount val="3"/>
                <c:pt idx="0">
                  <c:v>2</c:v>
                </c:pt>
                <c:pt idx="1">
                  <c:v>4</c:v>
                </c:pt>
                <c:pt idx="2">
                  <c:v>1</c:v>
                </c:pt>
              </c:numCache>
            </c:numRef>
          </c:val>
          <c:extLst>
            <c:ext xmlns:c16="http://schemas.microsoft.com/office/drawing/2014/chart" uri="{C3380CC4-5D6E-409C-BE32-E72D297353CC}">
              <c16:uniqueId val="{00000000-BEBB-4E63-8B85-D6297F9A46AB}"/>
            </c:ext>
          </c:extLst>
        </c:ser>
        <c:ser>
          <c:idx val="1"/>
          <c:order val="1"/>
          <c:tx>
            <c:strRef>
              <c:f>Sheet7!$H$3:$H$4</c:f>
              <c:strCache>
                <c:ptCount val="1"/>
                <c:pt idx="0">
                  <c:v>2</c:v>
                </c:pt>
              </c:strCache>
            </c:strRef>
          </c:tx>
          <c:spPr>
            <a:solidFill>
              <a:schemeClr val="accent5"/>
            </a:solidFill>
            <a:ln>
              <a:noFill/>
            </a:ln>
            <a:effectLst/>
          </c:spPr>
          <c:invertIfNegative val="0"/>
          <c:cat>
            <c:strRef>
              <c:f>Sheet7!$F$5:$F$8</c:f>
              <c:strCache>
                <c:ptCount val="3"/>
                <c:pt idx="0">
                  <c:v>Jan</c:v>
                </c:pt>
                <c:pt idx="1">
                  <c:v>Feb</c:v>
                </c:pt>
                <c:pt idx="2">
                  <c:v>Mar</c:v>
                </c:pt>
              </c:strCache>
            </c:strRef>
          </c:cat>
          <c:val>
            <c:numRef>
              <c:f>Sheet7!$H$5:$H$8</c:f>
              <c:numCache>
                <c:formatCode>General</c:formatCode>
                <c:ptCount val="3"/>
                <c:pt idx="0">
                  <c:v>5</c:v>
                </c:pt>
                <c:pt idx="1">
                  <c:v>7</c:v>
                </c:pt>
                <c:pt idx="2">
                  <c:v>6</c:v>
                </c:pt>
              </c:numCache>
            </c:numRef>
          </c:val>
          <c:extLst>
            <c:ext xmlns:c16="http://schemas.microsoft.com/office/drawing/2014/chart" uri="{C3380CC4-5D6E-409C-BE32-E72D297353CC}">
              <c16:uniqueId val="{00000001-BEBB-4E63-8B85-D6297F9A46AB}"/>
            </c:ext>
          </c:extLst>
        </c:ser>
        <c:ser>
          <c:idx val="2"/>
          <c:order val="2"/>
          <c:tx>
            <c:strRef>
              <c:f>Sheet7!$I$3:$I$4</c:f>
              <c:strCache>
                <c:ptCount val="1"/>
                <c:pt idx="0">
                  <c:v>3</c:v>
                </c:pt>
              </c:strCache>
            </c:strRef>
          </c:tx>
          <c:spPr>
            <a:solidFill>
              <a:schemeClr val="accent4"/>
            </a:solidFill>
            <a:ln>
              <a:noFill/>
            </a:ln>
            <a:effectLst/>
          </c:spPr>
          <c:invertIfNegative val="0"/>
          <c:cat>
            <c:strRef>
              <c:f>Sheet7!$F$5:$F$8</c:f>
              <c:strCache>
                <c:ptCount val="3"/>
                <c:pt idx="0">
                  <c:v>Jan</c:v>
                </c:pt>
                <c:pt idx="1">
                  <c:v>Feb</c:v>
                </c:pt>
                <c:pt idx="2">
                  <c:v>Mar</c:v>
                </c:pt>
              </c:strCache>
            </c:strRef>
          </c:cat>
          <c:val>
            <c:numRef>
              <c:f>Sheet7!$I$5:$I$8</c:f>
              <c:numCache>
                <c:formatCode>General</c:formatCode>
                <c:ptCount val="3"/>
                <c:pt idx="0">
                  <c:v>22</c:v>
                </c:pt>
                <c:pt idx="1">
                  <c:v>41</c:v>
                </c:pt>
                <c:pt idx="2">
                  <c:v>27</c:v>
                </c:pt>
              </c:numCache>
            </c:numRef>
          </c:val>
          <c:extLst>
            <c:ext xmlns:c16="http://schemas.microsoft.com/office/drawing/2014/chart" uri="{C3380CC4-5D6E-409C-BE32-E72D297353CC}">
              <c16:uniqueId val="{00000002-BEBB-4E63-8B85-D6297F9A46AB}"/>
            </c:ext>
          </c:extLst>
        </c:ser>
        <c:ser>
          <c:idx val="3"/>
          <c:order val="3"/>
          <c:tx>
            <c:strRef>
              <c:f>Sheet7!$J$3:$J$4</c:f>
              <c:strCache>
                <c:ptCount val="1"/>
                <c:pt idx="0">
                  <c:v>4</c:v>
                </c:pt>
              </c:strCache>
            </c:strRef>
          </c:tx>
          <c:spPr>
            <a:solidFill>
              <a:schemeClr val="accent6">
                <a:lumMod val="60000"/>
              </a:schemeClr>
            </a:solidFill>
            <a:ln>
              <a:noFill/>
            </a:ln>
            <a:effectLst/>
          </c:spPr>
          <c:invertIfNegative val="0"/>
          <c:cat>
            <c:strRef>
              <c:f>Sheet7!$F$5:$F$8</c:f>
              <c:strCache>
                <c:ptCount val="3"/>
                <c:pt idx="0">
                  <c:v>Jan</c:v>
                </c:pt>
                <c:pt idx="1">
                  <c:v>Feb</c:v>
                </c:pt>
                <c:pt idx="2">
                  <c:v>Mar</c:v>
                </c:pt>
              </c:strCache>
            </c:strRef>
          </c:cat>
          <c:val>
            <c:numRef>
              <c:f>Sheet7!$J$5:$J$8</c:f>
              <c:numCache>
                <c:formatCode>General</c:formatCode>
                <c:ptCount val="3"/>
                <c:pt idx="0">
                  <c:v>54</c:v>
                </c:pt>
                <c:pt idx="1">
                  <c:v>91</c:v>
                </c:pt>
                <c:pt idx="2">
                  <c:v>65</c:v>
                </c:pt>
              </c:numCache>
            </c:numRef>
          </c:val>
          <c:extLst>
            <c:ext xmlns:c16="http://schemas.microsoft.com/office/drawing/2014/chart" uri="{C3380CC4-5D6E-409C-BE32-E72D297353CC}">
              <c16:uniqueId val="{00000003-BEBB-4E63-8B85-D6297F9A46AB}"/>
            </c:ext>
          </c:extLst>
        </c:ser>
        <c:ser>
          <c:idx val="4"/>
          <c:order val="4"/>
          <c:tx>
            <c:strRef>
              <c:f>Sheet7!$K$3:$K$4</c:f>
              <c:strCache>
                <c:ptCount val="1"/>
                <c:pt idx="0">
                  <c:v>5</c:v>
                </c:pt>
              </c:strCache>
            </c:strRef>
          </c:tx>
          <c:spPr>
            <a:solidFill>
              <a:schemeClr val="accent5">
                <a:lumMod val="60000"/>
              </a:schemeClr>
            </a:solidFill>
            <a:ln>
              <a:noFill/>
            </a:ln>
            <a:effectLst/>
          </c:spPr>
          <c:invertIfNegative val="0"/>
          <c:cat>
            <c:strRef>
              <c:f>Sheet7!$F$5:$F$8</c:f>
              <c:strCache>
                <c:ptCount val="3"/>
                <c:pt idx="0">
                  <c:v>Jan</c:v>
                </c:pt>
                <c:pt idx="1">
                  <c:v>Feb</c:v>
                </c:pt>
                <c:pt idx="2">
                  <c:v>Mar</c:v>
                </c:pt>
              </c:strCache>
            </c:strRef>
          </c:cat>
          <c:val>
            <c:numRef>
              <c:f>Sheet7!$K$5:$K$8</c:f>
              <c:numCache>
                <c:formatCode>General</c:formatCode>
                <c:ptCount val="3"/>
                <c:pt idx="0">
                  <c:v>48</c:v>
                </c:pt>
                <c:pt idx="1">
                  <c:v>41</c:v>
                </c:pt>
                <c:pt idx="2">
                  <c:v>42</c:v>
                </c:pt>
              </c:numCache>
            </c:numRef>
          </c:val>
          <c:extLst>
            <c:ext xmlns:c16="http://schemas.microsoft.com/office/drawing/2014/chart" uri="{C3380CC4-5D6E-409C-BE32-E72D297353CC}">
              <c16:uniqueId val="{00000004-BEBB-4E63-8B85-D6297F9A46AB}"/>
            </c:ext>
          </c:extLst>
        </c:ser>
        <c:dLbls>
          <c:showLegendKey val="0"/>
          <c:showVal val="0"/>
          <c:showCatName val="0"/>
          <c:showSerName val="0"/>
          <c:showPercent val="0"/>
          <c:showBubbleSize val="0"/>
        </c:dLbls>
        <c:gapWidth val="219"/>
        <c:overlap val="-27"/>
        <c:axId val="1666224511"/>
        <c:axId val="1666224991"/>
      </c:barChart>
      <c:catAx>
        <c:axId val="166622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24991"/>
        <c:crosses val="autoZero"/>
        <c:auto val="1"/>
        <c:lblAlgn val="ctr"/>
        <c:lblOffset val="100"/>
        <c:noMultiLvlLbl val="0"/>
      </c:catAx>
      <c:valAx>
        <c:axId val="166622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2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41F616A7-69BB-4CFF-BDB9-E86E97BC5D2D}">
          <cx:tx>
            <cx:txData>
              <cx:f>_xlchart.v5.6</cx:f>
              <cx:v>Qty</cx:v>
            </cx:txData>
          </cx:tx>
          <cx:spPr>
            <a:ln>
              <a:solidFill>
                <a:schemeClr val="lt1">
                  <a:shade val="50000"/>
                </a:schemeClr>
              </a:solidFill>
            </a:ln>
          </cx:spPr>
          <cx:dataId val="0"/>
          <cx:layoutPr>
            <cx:geography cultureLanguage="en-US" cultureRegion="NP" attribution="Powered by Bing">
              <cx:geoCache provider="{E9337A44-BEBE-4D9F-B70C-5C5E7DAFC167}">
                <cx:binary>5H3Zctw4Eu2vOPx8qcZGgJiYnogBa9UuS976hVGWZO4ESYDr198sSfaoFrtLEaO4MbrldndLrEQl
eYBE5slE1j9v+3/cZver+l2fZ4X5x23/5/vI2vIff/xhbqP7fGWO8vi21kZ/t0e3Ov9Df/8e397/
cVevurgI/yAIsz9uo1Vt7/v3//onjBbe61N9u7KxLq6a+3r4cG+azJrfXNt76d3qLo+LSWxsHd9a
/Od7f5XF33VdxKv3m9fIn+//na3y+7vVO183hR3ev7svbGyHm6G8//P9xjjk/bs/tj9uR7V3GWhv
mzsQpuLIQ8wjHqfy4SXev8t0ET5ddjAhR0QQJjiM/Pip56DKizR60Gd1d1ffGwN39vDf3QE2bgOe
xr///incrp/GGoAQsPjz/ccitvd3767tyt6b9+9iox8eVz34en2rH68fns0fmxD+659bv4CntfWb
ZyhvP9q/u7QJ5N+BnK/udP0KGHtHFABExGPb4KIjIQiRFEm0fuEtjA9W6BcQb8ofgvCmxBsD+HxV
vsYS9o6IhCWKCX4AEdFtlGEJe5Ih19taw4fqsx/dDekDsN14/xtDVjXW3r/CypVHLiYUoGOP1tnb
hhYfuS7jGLDfXLoHK7Qf203xA8DdFHhj6F6vineT+D7Ur4AwORLYFa4k29BicYQ59bBH3UfsNwF+
kU77Qd4d4gCgd4XeGNjghq3a+3plXgFs7whLTjAR4tFSgz3edLbQEfeQhBXPN9F+kVL70d4d4gC0
d4XeGNo3jc6avHgN2y2OpEckY+zRt1o7V9tgU49g7BHYsJ+71i/RaT/WOyMcAPWOzBtD+jJb3d6/
jnftSSEx855w3nG/8BESjGJEHu243ET7cL32Y70lfwDSWxJvDOdp9m6ia4ikXsV+CyK5S55iZQlQ
bi9pIddTweUPBn7LKXuRavvR3h3iAMB3hd4Y5j4YcfMaoZU8IuvtmGP3Fxs2OULIo1wyd3NVH67R
fpy35A8AeUvijSF8qs27fxfhfXb/Gn4ZO0IuIdRjT672ji8OITajQKLgR8dta12/ULn9iO8b5ADY
94m9Mex9DSzfenUb+xpr3DtC2JOSUjDd69c2+MCAYgomXWC48txPe6le+3HfO8oBwO+V+x9A/vcq
btz4mi/9949nvofsfjnXTYAs4RL/wiPH8ohjQQRm+HEq/PjsR8obgqGfBP3jPNin0y9Qfia7cY+P
t/j7h/I/x2R/gsfTPCzZ5r+crmBAZcKGi361WAFCoLMx4mhrsb5Apf0Ibg+wB8WNX0HWZlvkjaE8
g4RO8RpuNj8SFHPXxU/LcNvNBpCF58IfvOV1Ha7Rfoy35Dfw3J+S2pJ4Ywgvmvybzu7sfz+UYpB5
8jhmjADTtRlDMeA9MUWQk9xnhF+i0n6Qd0Y4AOYdmTcG9DIv7+t4lf33gaZAcAO57a4JkIfXNj2C
3SMX1rqLIUO5fm351i/RbD/eOyMcgPeOzBvD++S+Ll4Ba/eIiods1SOUO5QnGO61r40pgTKD5670
ofrsR3hD+gB0N97/xpCF6ociNtmqeY04WRxxhgR1OX1YqmgnfwFUJ1pHymLL+3qZVvtR3jPGAVjv
kXpriEN2UsF6XtV38au4Y7Ahg8sNicgn1HcsuACfmyEgwTcX9TpV+DLFfgH8/nEOAX+/5BubAKer
9DXyV2CrYdMWCKqDHl47i50cSexi7omtZOWh+uxHe0P6AIw33v/GkD2BCsTXsOP8CHZgKBn6wXfu
CbA4XIOqku19+lCF9mO7eT8HgLsp8MbQPVvdQZ3BK7hh/AiqDKhLxFPWAlzqzRALHSEOlCbQXJsW
+3CN9uO7JX8AwFsSbwzhmyZb1a9hm2EBU4QJeqrb3OdoE+l5QJDs1BYcqtF+hLfu6ACEtyTeGMJn
qzou9avkHsURrFBYwx7AvH5tr2IIpiRnwiOwRT+8ttfy4Zrtx3rn3g5Ae0fmreF9X9zp29fxs+UR
Xpd5CvHElGwDTihkowWnVG7tymcvUeoXWO8McQjYO0JvDu36Fk4U+K9w6oIiLrnHnzjOnZwjgsWP
JeSb2Y+1/5wuObs/VK9fob0hfxDUGxJvDOfz+3b1KqdrIBvFiYB81ZMnth06EyBMMBSPMLkVQx2u
0X6Et+QPQHhL4o0hfFGvoHrkFVYyBXobCr48/osKfSjj9lw4X8O3ie3DNdqP8Jb8AQhvSbwxhK9j
k8aDbv77GDO8zkeCH/bjjNx2uAwVIhxIUReCqk0f7CU67Ud5Z4QDcN6ReWNIX0LF9quU54NDTbmA
8s6nvPPOWUh0JKHM15V0K+98uEb7Ud6SPwDjLYk3hvCHGE5gmPjudQy29JBL6VOKajesEpDEEgio
ry1y5EVK7cd5d4gDoN4VemNor/MEZ3Bm9zVKSR6CaCFgxT7GyDtLGs5GEg/iLraVd36RUvvR3h3i
ALR3hd4c2rc1nCAv7GvA7R25gkugNp8okR248RFADX8gS/3EqTyPq65XL9HtV6jvjHEQ7DtSbw73
dTYQjui/Bu4cnGyyPir7tMx3PDTAHREEBUdbcdZ6uR2u1a8Q3xnjIMR3pN4g4jOIu25jc6t/OMZ7
SmYhsfjSnhXCQ0gAv/1o1HfQJkcM+na4Ht3awtdo/9TokEDh14DvDnMg5ruCbxD2Y72qmvg1Sozg
VCUcl2YEAH547WFUiITMppSPlMuebf0Fyv0a/+1BDkR/W+wNYn/axObdxbfYlK9h6V0oACccODOw
AOvXDkkOR6jBtYeOCHvW/gtV+zX6+wY6cAbsE317swBO6qhV/W31KvlttjbvHgfibb/9h8wYlx5l
GA7mPbx+bD6P5zhgF3iZer+cB3uGOWwW7BF8k3PAh2zza1Q4QIwOp/GgMulX+RN8tM5+A7G+xdQ8
Yn+wWr9DfnOQg3HfFHubqNfNeIh39UK3D8paBMMM4adVvZM0g8O4xIN9YTuZ8gT6gVr9FvPnYxwO
+XOpt4a4LnT+GkvcO2JUcmhs9dQrZcfRe+icwxkUSWyZ94M1+gXSm/KHoLwp8dYQXve2eo3GGVDv
QAmBdjhP2/jOesZHHIJ68OW3g/aDNfoFwpvyhyC8KfH/AuFfNyX82d9xsrKr6UNnyGd9CX9/9eEB
QUfLLdGnwxn7g/VHxmx59+d7KFShEGYBy/YzgF8PtHG042fziR+rdFPwfmXsn+8dOOp3BIXEEk4X
MOhFCZTs+3fd/eMlSJJjcPgg7QKOP5zChnlS6NpG0L0SapS5gJQMJ0DvUEbhktHNwyWgAuEoAvZc
7CEOxxb4z+6dlzobQl38fDBPP78rmvxSx4U1f75nBPyG8vF9a31daJ4H4yAIKtc10QzGheu3qw/r
elh4Dv+nCoPedXBrLhDTn7piwLOWVhMHOoUokZj60hmDcFHkXH9xWWl96WaVssIRysvH3jdOWxyP
4dCodCxqHwXsc2pSMakTb/BLWCGzkdl0lsdjrNw6qH3LGj2tAtn6lTHdaZKM140tuKK9Fx3zUnyU
pliGUVTM+FhnSrj62HNRuKipWNq4/xx0PFJtUl7XOhoUd2K5wCi8LVh701N04uTNuUZRr5owwArV
CZ4NLi5V2TmnWRfPhwqPvh7lSTJkXwNLji0vzUnUNdeoDbNZWPHIbzqOFO/db7xOnYW1fanq3h1m
Uvf3XPN74clkYiLZTEzVnsmefimILo7LJtMKDpCsSBtdRbrTS1DzVhb5RerWyqOt8J2Ia/2pT4Zw
CjTPPMWBnrslX2UJmoU6u8qDyFGjm9/zDE/7NPSxzso5c6I7UXcfOp6GCyRjT+WtG07TbhwnSezw
aeP0FyLqqIpD8ikOvLOWBkQxgrUKsadVUXZcJUU6z9puSbn9K8ddpipqzbzxzMU4su7EQ8MnL0s6
77I3XXha2n7MVeaxWp5GTvl9bCJXBUObTE3SMF/3IlZszPp5Hse5quJELstqiK5oSj7iOIpVOVRo
QbxIjWFKv45IqDJXUjY3Dc/Cc2uL8nhEeS2nkZMuSldPuwR9wFq7ihZeoop4MCpF8ae4c0sVRI2n
qGOTCQ1FpEpe9hNXW6scR1+GSRAobsI54ehGODhRXVLfNU2/QBk/Zk0Bj3jIJ0HSfy7d+E7Q/DRw
klQVuKpUV9tcCadZsdwMfsLoV4dkfzkldRUOxXyQTKsyShYEhdeV0GbSN+PMIbRQ1ejNhiKd9ImY
FFl6ygNxhhsnVt4wXOdj8R1l2pu2jccVd4fWL9PQVa2T3GLufAHOdzZE/YcssqdD69y4TvSXzbL7
qE6lqhrnpOrrc0SDj32RnAxdDmgF5FOY08KP6uAm6MWJTeAJlSRkM1qKzk89eV4Q9jUQ3Uco2RhV
FmaJ3zuyViJG3wyTH7o6OQ/LekYCGSpPtBcdZh/oAPeSB/FVbfAS6rp8KAk5DstONbw7KR33WzjY
Tx4L/bBwz1vmXkTxuKB1rkoUVyo1wxe38bx5Ejq5SmNJfDBzpQorp1Fy0L0K+jb227j+Upv8mMr2
LKVkGaHxU1NEHjyPgPoV7ZZl7cY+TFikSif7YGL6raS5XIg0q9XIvTmxCZ1msfWmgdVmSqIgn2k5
LkZGYpWUebIsROn3Bs880ndqbXHBSmE9TVl7qRvUKlJZNGva4SpEQ6kwqhYIHgHYpCs68LOkkbcu
xzC3BP9IODujrEp82gxYtUMZTfTaxNXROGlDdE1kMctElChSmlyZSh/DeZJskbfUx5ltVJhb7nOY
b80YXmPEvgno4DwJiXeWtlEwD0PHmSUm+4AFrVUVptgfiPhGYpFOcZF5ivFyOlBnVHlMmAJLOkvj
5nttx+A6qcbEj2t8U8RtoRos4tsycs65btupNmAj4vhzF7UXtYwWuet9H3vdTW0RdCoqkZ/mVYn9
2LiOVNiM+ec8dER4NpJwUJa3esqwe+J69Y0cgkjVuSBqHPVfeozltGQtVTYdvwSt7JVozTduncof
m/qSxdl5FOIL6gZ/9ab5jpumgGVcH2cjmaYhy6aNda+adDxrpGMUR7WG+6+mXtafIqemqm4KpNwu
QCoemxvao0UcoONMJ5+S1mqVwlEd0Gb8ItP+zFTDp9ztrsouuYT5AA+hbz7mKT4f3QgpG8aZalEx
b0TbqF7a64IO55ibY9QnJwz1HwsiVcDcSx6aSSlZoTz4n55FYiIy3qvBZbDJ8ZioOLGJXyBiFdjY
SReXi6IqFnViRyVyA2aHW7BEdFAuDpjiOMjmvEyW4+ihpZN2yyLh0aSOdaSKwZJlHafxRGZJM9W0
LKYpqmPVtQlWYR/PBBkT9bzL88ZWf6vLoY7D6KlX988f/3Wjc/jnoe3zf365bvX9n5/m93pNHpnt
N629sp/v+k/r6LUX9LOP9JZv9dgv/BeO128vvswrg4Dp117Zz8aOe7yydRHTk1dG4KTI2jsHBwoK
Vvk6Sf7TK4NiGAnHtqnEYCjddX/wH17Z2vUCIahwJZgCTweXfnhlUA0HR4/gEOm6aRbE8i/yyuja
v9vyyqhc19aB48igvZ4A/Z57ZUXotW3WevoCoSxclGEwj0LHUzXtTmBmD37XEHPaN0TPKRrpXPbN
ZZGw0adF/q1mRE+MYxbZELlTSaGPeNhxqhIWVX4TsVElTkcmkfUcJSo+Tpyuzy+rUH6O3LH225pS
v0fjiRfQ09plC09LdwI71Lways+BF2p/rLyzsR7sVOi0XUAT+eMwT2A3YO7x6IE/EDJxBp7tx9At
G2Vj70p2Ip0UdXxlUb2CXjaF77nhpzaHvb2Lo9AvetH6aTue8UJ87oPU+JjSLzLTn3nfnsgUn3Yi
u3Hc/Mx6XenXXfSxqMFcODhfgHE7ESP7UBTJDIfOVxL3fliFM4sq4Zu6PC2F/gJ94s9plCcqcvt5
27uFgkmxsplnVNFnkXKEncZ8jBTus2xC656rIaiGqecVzbRt20EFSX5Rdz1RRUgXOoJtp++a8y4D
MxOOHZ67qZ0lvPrQp23iuykufIeMlzTgt8SWN2kzzDoP54qGxWXPOOz++TImuVWBMJe8ER+jKgjB
yA5feGxitXZ7JtDPJ/WzItYzCu7QpCBibuvxqu4LMcNRdtxj8BjGvFKeJR95VGO/zkjgcy0vklaQ
8ywQi94Dx+WcRUveJAp13gkfksSHXjSzWLRasSqexnZMppbadl433peI81A1VUFUpuM5zotCpbm+
TQXXk8QOsOlVeJZ5YjKgcDrYYRGDV6jyPPlW1/QeitDuOw3+elix85CHy76tQjWgNp+Cx80+UTdF
EzR4RIkghk5Q1XHu8mXm4jO3iWa1F6YznMX1dOh74pOQD3OvKbVQhdvYadc6V3HZ3ckx7WrfRXHi
o7qajxUzStjqmDkV8StWLiQHq6tJAH6kJ7wJUC0L4oTFXNf9KpXsJkZ60pp8iizyQ5i6MI/kZ01h
/44q215XDFfTWIb9NBXNABMhEj4eGzy1WZko6mYfZBtOOAmoonG0LCQ/DVqDVZ7WySQLE1gXImum
XlLiGa00UVAxj2ZORjMfwQZ3MpDiKnCiWxp27MoG+QevZkj1nNbL0sC9RLbrfGdspobpTIVovAC/
uFRJ3veKRuVlINzTKEdoUqIEdp4EHmDB/7IWHxt9FTMG8UrtXXpeHix7rs/7IOtUa7tjSfQdM1mp
qiFZ5SwvpwKCtYnTO+mkHGF+dG4FcUPlhpNodOYUHOLxLxLSu7aGQG1pwJWIdTX4VQDToM2D1TCO
4FgN1VkwplgV1LnuS7YoMEQxQxV9csL0Pm1gyZBCw9wu3ZmR1TJ38nLtoNFJm2U3VRF8l63u/LCH
eUczMWfwLQ5T1o+VcsrRqjasilOH9O4ZLvIbJ86r874dHJjzIpkKOQaTfmwdvwkC7Yc10irq2rO2
Tj1lRJGoTMbXUQ2z2WUhXtZZEk1ZAIj3QU5UOoxXOii5wiPFyuTt6JeD84FWdTNB8EkqGqtAOS3v
/CJNg1k7QAiiK8sW4Gr0LYuO0wHGamh1lTN6kmlzjQJ0E7ixnmDSHgdQ3DGl49jHyui6Ti7KHtdf
UumabspNwRPfNMlJ07TJ6NuW5mQWd0ExqZLYfPVkGLHT/x99guc7uwt1MX/jDmy1NntgPR6kfvgC
GPoArFskIk6IC92XYMCfvgBk5NZHHIBm8dbbOmzDT74AA04eQ6cf+JIR8CPIA3nzwxcgR1CG6cEJ
NuR5EPBL/BKGBq+3+g2CRnLgSSD0EtAdDOoD1gTOM4LGjlSXFYSz50VH5bTtgqhUmiYi9VPRtVfc
cYfjpG+LdIpQar9azdqPKTN9pYwsqs/Pnt6TU/mcL1qfk97WBjoiwCFr8HXg61X4lmPCiqFMZdS0
56Qq8HkIrE+gGqGBNunBVZeq7VjzVbQlBMJ17tnKr5I6DVUwGsF86Ddc3Elr0QWMETUTkmX44+g6
Hp4P3A3u8eDgfvZ7jQmw5jsacwEHkggUWED3JbT5/FgsIsB2sOe0d0Mw2/2YfWwZpFlnVgzAN7RD
j5NJLAJPjYIPsRpSROd5Ww94Urfa3kW9MRA1OaU7MfDlOa2yeQQBpajdNJyGOoku00Ye50ZGZgKc
v/xkouokzTq3n8bG4WdxHbX5/Pd3tQsDdF5G0IAIvr8Guuk/3PSzSSEGJ+ycMjPnhQ3kJx16GAx3
SmBqlEXTX3Z9La/LAGdffv+x22QhnNsCnlJQaB2L1v9aq/XsY13Uh6w0YXFeeCM+x2nUnBem9mMv
iD79/pO2HeD1J0mobAMSFIoixJo2ff5JZcGGsaojfe6ViK2qTtfZPLDeAEa7jKaoajJwdsGR0H5C
3S7/u0mznhTPFx3cJUHEhZYv0FcRrMPWxwsBG3tY5PG5qFJ3lSeNu0qztQ7umJspr7UGpwagn3dZ
1RFVpVrc20yaZScHdrreypFPu0SnfiKK/COtS9jvIqCG7kunLSfIGXPhu1KzeuFSPjaPwd/jN/zs
W6a7QAHpDGYDghH4jiPBwKY9f3yIN27huoEDlFSQr+LamlBhJ7UFU3QYivC4i+L0W+jJ8hR22mjG
NevXBEwrvlsBMb8/RKHwmU7a+xio17vWLSNx/HuImbsDMjDbMInWaU+oVHYFBGjPteS1F6M6svQs
YVUZSG9iZTTOe9tTObNt0/h1X6GrNh/cRkUReGE1LuaG1OU8YyXx06zKP5SZmwMfkXXh5y7J9XIw
wAuWblV+5Cb1JgE4GH6jkwR8akuTDvx4U5x3pWMuKmek0zDEEvy/MShyH4jbfOFym30gSXgZDgXt
VdaI6twG1Y0luUMnvCXwIOOBgG1gzTiuXerkNItc72uAGnYccQ+fjmHfSr9DEcuhufEQLx2vHnLV
Dd44wZ3rTMakvy1NZa8b5ACf2eVWzAJTNUsWEHJTRbhL5wFQmbEaozT4BuUCdavionL+anKRT8rS
kGWqi3KJK5ndxS0Qogr4svQ6lkANqrZi4TGQ7Y0/wHOYQw5CXlRd3k9ZV1czjHvcTjNoCxv6bRd6
ld8CnTbNDa0nTSkvosAJ0QRjbRew1RBwfVDC1+5W9qXPUXRCalleu9S680YmDpkZno8rj+t6aoBj
GWdt6oUzp+/Ripis+25CcPz8kVjUQOhE2nDW20TD4ui66RACPzqrdRBNMkshlIO3KjgbXmt40Hkr
VGKSxPFF0AkltNuPitks8Kl1inxe83QasmZAVx3FDL6PrEaZSmAm2Rm1nTTznor+lKfjmAVXTVfZ
PFdDnA1FfRcFESHjV9M5vcgjJWsw5fqWgC9ngZFrbNOU6NymNk/7YxlX47yVjQ2WeR3H4IaTTF8j
4dBlMlDa+A1gEIC/i4AWG6Pc8yZFEMB+aLO0q6Y87UIEcZnFwUVUQdJHL9JBdNFk6DNpT7mxFGZU
F2hsOr+BvXDGnSgJLlpYOjz0K6/0YMLR1OSzAgIjqbIKNq9gCrQq950AKolcCFBQAZy8CfLch7RE
F8y6TGT51ATgFczcIsxH3xtdsJgFSVnj51HtAEtmhtBcmtjJ86kOY++707RAFU+QJnYeM6/xzl0n
CIPjggorXODCelONw8LAabE6mpZhJPJpYNqxmsnaFPFsyHg+LJAxeem7ZMhiX0DaJJvXcRU7wKkx
8tkp8xFP4AxLmk/gL3IuIPUBlCCkgIrPSZ7LfElrabNpGln+YWwspbPE0QRDiiYCf16JiER2HtRt
WVzDZkyPk3Ak6awpQYOptlk4Tj3cj9L3kqHsznJvgKntwFKpJwHGzXFNXTebhAENm4koWoAzFgb8
k2JM6HifpZC5n3igQD6hQx5VS4xitgiBmeU+SdOKTmIdB5OxCVJXOV1dyssk6BLm07hKgK8tk9E5
QUHGZrgMgO8XkRTlFA/RqJdRjDvI2kgWdWr9PoVlLAuYPiGt/L6Lge+1fez8VReDhvgmhnVEzvFY
rFNnXsscejNkHWnOeQnE+qSQlYWYuYAtKTQiBQGZU3haQRzh4uuIsyI6roY862emc8f4BNvQ3rCE
uCsXQp9AeRgm76wB4oVODR9jUL7BST7JaAXsi9cF0xjH1des68CzSMKkvTYu776VdUQXrejCYOql
kKeEADuAcVzgavtZUbdAw/YlZVfGuvgGWwfe0XHHeL7Fg+inLcmTeFH3hAA/KkJDLmJHyE8FqtaT
M0kqMxeZicxlPzDr+ajqAJuoK0AxbcDonsAOJj9RD8HshiRWWk/gsHmvl9bIgFwmdZOmH4hXSLbs
WdI1Z7a3a+czGvpLN3V4P9VdDh+t9Tpw7YF+GecoFeubX6vegX0CvcocnzO3gLtoKhceVZTqdPRl
2sLSKbMwja+KWsCSrxvwCkK4BjaV2CK6qDAbamC+ywgB3F3dN2e5E5VGxaip+lmPBKLToa3I2mjA
YgLaH4MB6SVe+8m2yD8F8A0Nx14bQ47Pi9wU5sUQ8lVXUFCjr5PhA7U9MichuLnJiS6LNLn2YLeY
mwLh80qG1VdIJ3OIW1kUk2PthbI5CSIdtpOhFlUHDu5A5yWBx+ojUQ23aZa6l31jkF5UaGjTzx3P
Q7PIAyf/PoxybUPiKosmEAd4dBqTITKzkufys4MgAZN3ZVgpwcDMDUDJfYi1NScyTxOgC0lNQjB7
LoPtKCLyU504bTjNSAHLZISsj1yyQuPqPgeDPBx7GKbUtFtb7GniOvBE+3Zsp7DJdNUJrhvC/UBm
toWdlrYIXO8q+auWrbxxBnDTj0dpa3xnTQEpsRxj0S7jjsBQfY6j0WfdmogqARZgVVLJZyNkS+xZ
P4jsOmkN0GfCLFjet+5i7DiAkyJIjszLLNX6rOA9O3UsJMenUVXk7Uk4dGUE9KXJoxvwRMwdkgWY
ETCdplVpZDqjZNd6FewCQ3WdhRWOv2A9Uq9VI3hgw8fSUgfSnpUJ6mkknDQ8doKy+xaFyGn9TBie
LmOJ8FVvnGAESq4yQNGNDUzSeJ0Fu+zTbHTPc15mkBUsW8TPGI5Y7w/g3ZhpF5WAWucVcajqUeRg
O4zJprinfQ2EC/Hq+ehVMPtT1odA4gUDMn5QGl597twB3yRRDXMNdjr5CeY65DkKWWAwsKSUyczL
I96pvvlKvAbYTJWmrfjokqLqJp0bWnbGgsxrP1SBkUDhhTCjp2VMAU0IHIb+NKY21aeiLiN6SXrI
zi6DHpJ4Ku57JzxLa6fsJrkJwGaAN9bYsywLQP9apuHMRF4aTboeoeVQMVj3A+frFDRQc2cPXulT
lcmT7/xYIvE8v/E83XFI3uTsx3erbidONgb638uurPsq/Tq78uO7lJ5TMI+1Mg/9mJ6SK1DyAl8H
BtUkEJuuu/zAkD8JFahid6EH9rpJG4cOfBAR/Ce5Av01wXRjwiW8hUBI84NQgfac8AtgUiAlsyZb
5EsIFejBuxHcQbkIgkNyHL78ZP0tVnTNz2yEHbh169zReX4BKcNjirFiLfAAfVpMxiLRs9blkHUN
sjMGJmDmUrZADZ7Hpb2IGmdZZMlEduSqwEA6UnzcmXKVNpB4N5mfFmBWRnwaSrYYI16r1NGDH4nw
qxmyqzYI0inP8xUkmCDPHg2VCrKm9EeoxjjJhwwYd7AfUFdjCyCjI+AFtXcKpv/Si9JMSS0R2G/H
h/XwDUifGQ3wZdTrC0idJwpW55cOt1zpgl94bgXcSpMKleIuvmi4voO6k0S5fWT9MRLcB+cCL93B
O7VWLGmQ39Chvx/YeAZ1At+ywNx0Qwt0fxbONW9OuDtSpVt+4WpxnP1f9s5sSVYc69JPRBkCJNBl
M/sY83iDxZkQCIGYh6fv5Vl/VkVGnoqwv7tv2rrv0jLzHNwdIe291rc2KLJ8LuiDbaCRaYbXWbC4
n9CgdMQAUMG9a4d3h0o1V+Usz+Vcxtog6MHoXKAZrlD3dMYTVx1UrA2dMC2PottQOuv1YHM57OoL
YaTkRmLBuIqNkr+iSr+m03h0Rq856/bGbOxYySJaXXKFVxDGo73crgQn+qXNszvyZhMRFJXxPDnZ
E7S9mI0jeIRppqldqW/FOj5ow7RDtY0Sjk95Xif8dK0cb8wlW8JeMvXYOju29t7gD3C8fLt1pzOO
3TibM+3Ds5iDdZzuxFpG+OciLlhfhUNbP474GFm7bYEsjMV3ZgA+BcSiziNBY66HdsJ9QE+D1sb0
qrBZPdNfV/u28JrDPGc/0AeXfsHYvdOwW8Ny7cAY2JGrBiobdUUgdFv5EJRuDZrtaDk4R3Awwl/a
8t7L6u+eWeDcUTdKyB9l3T3mHF0XWETI6/hSKRShOeAGlK6sWfIAb9CNbWdYUANnAdweGetiDDeO
JniTielMqbTsKoKgtEZWP/70KEwph7UTigf93DQq4kRXR0Hxa7dVXwR5s83w00jv2323+IbnEn9b
1saHxKNP29o9tJu8zfToBY5Zdn5TGAS7P1omNdajX3XNwWyW6kgUThyvfy6Ye6QOva2nBs1EwVVg
kG1LVF2il8y6Oebo0SGGWq+6bu+8CTeeznm40u1sjtmPbDLQbEz0lmvvFm1ROgNK8EmW7VwJM5Vi
0ftQeONl86qLtOD4Vi4B1czd7JdtN8GDWd9ye+sD2ht5UOEX9Qej2w+TEZqSoa53QZJUqriCv5MU
m6WiVd4apU8EiIAp395w3r8NE7uHIHAvKxKOi3ctLUsGc745wWzZsJMK43H1jNofKjcS2xCLdWL7
okC1pslAcdsntCfG+ob7uu6dnkaN1o6P5sAOLcP5aS39qTKN02IOdVR4ax2Z6/YGZCNd9UCDBj0Z
bhcqlHV2XX/tmhEO3nyn3LkBgjeQJLNyHuBVUfg8EzCVecQKxL//ZVULvC+KQldCQ/W9yrhtR/Nn
r7AkHKaKfeO6D7prz30l4AIR56fW5pVrzHFfwj4FR+VE9exaMSNlDOKnO2bETJbawd3GL35oa3xp
WWM1oft7cVTVxI2BPRitKA+mqXN80I5p5rAlbcj61rKiSTi2RkcWcWuPRiCEc9oGcdVXtvIv0m+4
FvYdRKAZBnRz3fZmUnbOvd6wVzbkjuRwB5vN63yzcd/yXO81E3s0xAXgDpP51BwfDLaRICuLNqpK
uJodxaKWffYyse2lG9pb0TuwNisj1SUZI4UNDorEeKfh7IadxP21jSb07G4OZjerAQJ138quwlah
g0ZAWum2JG+F8i2nv1+z+VFaw1PXenZYyfHJ4ZuZEmsmoWla4rD15RQWaAOgxVXKb/J29Sti77q+
vKuZnWx6bMJMkpdZLqYPsgRdGC+hsUsLLQiDqmE9Tuxm7vdb9jwXB0fYNzVcerzj7bE01ENhK9ya
ekhY3ZwtzAJEc0P6FGLPT4KNHiUjv4bIgEfbMbIULgNoTDSKUeUWow+XMWz4fOx1dTtxK3WXCttv
sUbbSu5qyg6iWVHY5eOTe/GMzXbYt8N5YuCM6Fj4uZtfO6tdhFXDi8RqO1jmXfFE1i2pqq481ga2
/83oTnx1Ddhuo4Sms5SooG3b77WHu5WhytX5nnLPCHrmic0nTc5bfx1tK3WW5idABHGa68F3dI4d
230qGzUn3VCgbhwgZJyJMItA9LjP7rqxNPeAABQZ2EbS77Nh41fE7gBgbMaWZv3g7CZXnKtOeN7b
6Kxrsl0saqG9FnwAK2MO5EDBx7Y03WE32jP42xJzEP1uMIBYdI79WLgaO8TFEHd6IxVwyB2nB1wr
zJ/2av7M1vwbjpzSBxmYrqYRKrjsljTx1fEZe5s0oVyq70sha5/mIrHM0vIHSBnQ1dizWNSUrGQo
o7kVUUv6xofGFbPJKAJoxYccP7b+Nph74mS3EmSAAQjkXHTula2XLChGRSComg/4+XGKgyzQS7mH
2unGul1AB7KkRCcRUtut43oxZbB2pg6LShc+aefneli6YKnuqLOGrKIPirfXa1sOPtvkbgbw0BXV
9XQhIPpmicmg793G+Y7N9Xrgcx1UAkugAD5BjC7GBkeS2elwZBM4HBfWwt1IWrPB8jkwDJd3qy8B
hcKkl2vULQPWw5xXobgQHB3rI3VhOjSDl1401tvWW7UPJSNxixKbM1AQDOJ57oCGLG7lBo0yIgJo
hM7eC46WeJqt266dDnhyUxdQqd8CN9Fbr4OyqE4zwVELIKXIhkMGQIVq8jxfiBUKdKW3llNzYVnm
ghvAbEAec4AuajXrgBjVbiv2ndOdljyP9WzJcAQbIy6QDDPYw6in07YI36yLbxVQmlaSCrd9PU6L
N6ZodIeoXthJEa8OmMJGCCTHpAULW0A6srGOM6Cd8ULv5BeOh23sqZyVAoNibmF+oX2gWFnhdCGA
ppHrYHYs26eqBqkNdy7yti7tL+xQZ5bfXNDFgQesyNU9+CIYYUnO+/6oWuBEIDYPVel62JSyRFaZ
kXA1l6g5swEPF628zblng7FnhasSJpodR7Wl/UrbUJK3CXjd/4fd/tlWOXDY/nM7dvdHPufvzdjl
T/3pbmOGFxKFDsVUAeqC+X7vbtsXoxogG9w8Bwwl+qR/N2NAE5A/wJsBHUiil7/wz2YMr5VzbQt/
F9o7vBoWfNyfyN9fmmtkL35jVGH449+bMQzYd0AcAZ3z3Ms7g997QLLWlZZmaV5ZNu1ETLEKAwjE
4/cOqOTkyMU3VSZTIxvqoCT8MRsm4WedaENK3W+Dqu5cNXMfbl6IrIvpZ7r4Nhrmrp/aozRKiFC0
Q0ndTmHGpiGWNnmd3SWHjTT3B9W2u3bKA3srruAq7JTgp16uaFF6DqSkhDeybo3v9l5aF2W0zUbo
2kM4zKwJGmO7lmxE5VzMt5Y9vPAC3RmV9c0qUdY22rg3RNEF2VT2IOSLOM8Ynprnqlhf4QmMfknL
274rTb9rwbspelCQQaNyq5O1aayTqZ0LbO34JnEOG9XnqR4PXp/90Hw+FBZ7tVYmb5wFBVReZ6fZ
QR+QW8bL3NGox/uZ3zroyP4MD2zru8fCMn/kbgmzSUNuZlX1sLjGDxSX+CIVT6X0TmuVi4jgO2Sm
PBWbfuvLpo+nDI3WvA6wFqyWJjX6jmwRLToa9bDq7Kof51fFLpSuax0Xr00GRzYQo1XtY7uPPYD5
bUavpKWx18xbOs7EDKAtPpYMjdtMT/OEbWzwpqD3yptamU4w1cvR67fj3HtmhH7ruRDUhkvVln7L
5WPbr+hs5fBMt/kwsxZFea9+NV53gpyaH4XMzxwCaFgPLJr7cQjIYKV9BhK+b/N7q+p2phaXQ3Hg
+5mNOrKY+FHn7l2ercko5yVSjdqvcB1A9hg/F0cfNoY8Sjk84d+ldYM4hzN5XtRYBWCtcriu+7I6
8kXds2NDLr06TDqG5ykUNqwtd+x/KdKmpdslbGrhDI1dHuN/hDnbRroZlW/KaQIM39+RqUtKKl+c
lSQ8H3Nfe/TQly4PhqZxwrpWN2Mp1rjtZewMWxVs2RStAn0IQodeILfupHnVgxXLhsiC2GvlzUFS
J674uPmSdzeOnPelANosuvUMTBx9XnYYNoowhVe46/cxb7onUQ+wq3OuPJ81tXtrabxIA6EB6CY3
pubtLbwjVSUE6PJgm7FEsMUfreyXzJefGeVmIJoKvmHr7t16eexZ922QY+vrprlxc54YQt6gc9wB
UaMBLOxQL25Q2i7q3crsYo8OZ2JXDr6cjlrXNZAOKtNmWJwIjRXo/srdAii3KtCFCgfUEzZb3xZm
he2yvHqZF5l8fcCNFr5XGru1MI51KxIhod5wNKMA7vOyCtEIp6UCXO/Vub8gtQABZG/r4Ym0XSjo
moeWWuJJwYCzi/LoFq0MBhTXfHGTmTO4PQo35HHoymRdRjSsczCpcVfANENfA21V9aEo+LMqkTbp
O3GcNCfh1hY8XhQb/U3WKW/Nsz3w7/3s4CFYg3WBXyQdHtp6PTljuZs7HJzKMruDNc+4t0jhGGM6
9t33sZuuysUL+9K5N4sc6Zq1O27gNH2YF5Ej8RSayN+0C+ExkeYdHbOfLWQK6CBqN/DcC3p3SpFy
WQKjpakDoQmFwnQQqOjKgsKBKKZAOONpduvDYoADVbIKnNx7qWxQvcxLR3TM3Wom3B2vCzY9mZbe
Zc6CmtN0I1kC2BVLbaAOa27tkQ9BsXVXjgkcNC/TChugLqZzxrb7FjRFaw03mQWDrp181lI0E3wN
tw3dI+si2yDwbPop7Jt6wy5sx5wOB7PeYg/Br4DD/Wq1eRGuUBBb46tdoKGfLWrvCBoNUq++zvMb
snlH7iGKs21GgXjZvDeZDNxmFoHUeRkphMl2dk7HhIvl2q6MWFbrNcbR/7JRSNdKhz0bor7zjBjt
eR3MxnC1Dvp6cL2HpRhFoCiFm6MojxaYxM/SztYw19Ovsh8PYjEfq7HelUNzFBxWwdgVt+NmhVbR
/aL5Go0j0WexLDGMxAdJrM2nk3zEDhz1Nb3pjAxhLpO/GKx7WtrlMCuwPj1wgMDWF3cNvjzyYmKh
V/mcH5xhwDburLus5WUNyaNdnZT1vXycKmOWITFqEhvbMKPE86LKLHYWlVARZ7WFSyN+OJM9hpAA
oYVBTePbdkU6ZUcoF3LkWEi8dMgrZHb7yx0mGfBBntBWYbtclzoUTfHUlNZ1o6xbR9ZATxvHX0T/
HVJxOJh87xrrVc+W3WZh/+pcAi2H1g/LajzqpbmvCkv6cLxCXRUEYar5apIMJs7m3W21Rqc8luNN
N5RFRCu3TJ3aRPorm9QSKGJP4vCunvpNfWIhkavfg0AUGA20A4shbmmbmFr/1/KkbzGMYeU2msE7
5T/TeLpG5sVXAX+7v+1Pzb6ImmBIiyNN5lCkTSz2NE/Lk0j++Bz/p12J//v8Bgfk1ScF7vuJJr+p
c/GH/6xzYTrg9jiI2TrcvTipfzUdXLzvHEInBiiRdxSnTf9BCGarAeTkwNrM93Wu/Q8UuHjdKl76
9UcG1/lv1bkflxGnqEAtQKEWDAeMuv/rMrIFMeZhVc5ZqNetPy/Ly7uf5Tfr1CEfiTV8CQs0FZwT
D6Aj6J2/XmHMemfI6DKeAZFElqV/rdpBAqC8pd3wC/YoIrldEQJTbi9P/85yeQoXNRpdrS/dZ5M0
s53UbpcavXlfAsZ3ev3DqMAgWfw40g5Z30HCQRbVFZkIlUd7Glr7ChZhA0uwmLA7WXZARYsT1Yb4
0/uzSXd47rNfMzVPtg3vMFyxTQDHL6ofrXURFsEpRE5vIdhi5sZzWRkq5NL5PkLMiAfs3YEjwVIS
Pv+RZL1ytWtEldc98y63I2Jd8nqOM1+Xy0x822qGmHSQVGHCH6aueIXSesTr0UPO1Xqc86lNq7pJ
63rYwg5EV0arBIX/yRO5jZxb/WqYM2KfzvJLSeNqWFAq9Grb4hGKZa6HO7dUvmHqnd3yV2kaoJXG
/aDNJqDjerNIb19uCzS/rQvJIPeoW94yMs2IIZZpzo1wlMXbAEYHXLqDI9pLkRS4MoDa0RpbR2a9
gEPZ89FNVUuPTt3SsLOmU2VvIcPW2+k2ZWvr+o2D0rnYhnST1XWXNSgtNnEYCvNF4wwNVqNEDsK5
HyoifWuzpW9vzl1h1w2krkVEo1fs1qpFl15S1BIlS8wWVWzD5Ovo8Gg2uwD3QoA2G6YYCOR+QT/G
nenJaexgFvTMevbSD9uVLJxboSByAjBMXGc6AXjYNeu8y5fySUwrNDc+p0gcH4VV3THSKH8oqyer
7h9J5j6xbIybju3BJQEW616ZMyC2MKA2tPuXBl8eNNaSGOv2Q0IXX2F9dBkNbbkcEfzzfFAzKHnX
Gn+ph0PfcTM/Z+4rnoK4LMqXPEP2Y+mHMjbGEcum/bU2ZepBHHNs/Tp25othmHe9CwtOZmU4LTww
afVtk9mNVAjPijU/SoDLCck1JF7DvRdgilqNQz4vcuiZSn3jBOa0ocUE4cSlJ2/pa8j2lziVJlNI
2V3JnecRtCzywjC70OXi6SnnO5OUB2PU3kWGRxOLpC/iJ/R28WAxjOtYHRAxlZc0SB/xSkNZd4oM
fQw754PFogLqrcm8PORt5n0DKzVFAgdY4wMCHPF8d1PWB2o1shVF3FScl65gx1YzE+UuPDAblU7Q
GVLC3GtEiNhjB8TRMKNhg1gGmFjeNtALBtBA5kEzCgwFyO3Qdgfk4K804N8d7CDHJzayFcRq+5R6
XhnlxXhkJJ/8Xuo6IRtNMkBY0bZceiin0kCzLjkYVVRXbmVWSDUZ/Q1iG3mQZfo73dbHLrPfXNmm
2N9OpSA4YAn8xbUyjpm0TLgshCIHShdgdY26a+ho4FF1s+pplPXtPEFxtyx25QCcwc4SdKUT2qgs
QjAyB7d1sSESfGh3vqlHOw80+iXsUfu8zVIATxG0/gBZk2NVGomg4mRW5pOE/2OP5n7mCHbWi3x1
yoz6fTEEs4dGngwmws1O4X7DaAELJSUwDURnZnUviZrjqbAT24VrBfrBC4S3yWgriu60efJsWzqV
vL8hqMaDqu/9Be6Xv800xJa3s0g2RrnNul21Tg/M0PfKUgF6xLFCMTaKaJ0HxbHnjPvZZM1r7QwG
9l/jV9sLM1xHDE3A5Zywg/x51dgV5LpVotCfSjEltaPWBFu/eMpaXMEaq/taQYYnOD3349qV+6rM
zzWnDCSK7e1GIOW+07j3tAXs7DuIGKIZ6dtwdbIsBqB0z7L13qvp9gyCtgiqEYoBHXPiu/MSD/C1
Em1OCF6tbRNU+IN+N9HxGVowXDdvLbaLeCJwKokhdaYat3jWse0p8B2qeWGT3tUwVxcX5XEPKX51
97JdH0xRRlMBsKvR4mGsrHsPDOYBhMm0a4yyC5usgqQ5AvbVpvmC/tIO7cVpn0emSagbhUZYYKHD
x9A+UKRn65ITziy6xN5o8KAczTX6/Hj+QBxgLO/lpdAoNTjsaOAPH3BsSylme3lZAyotQ3CsO5jG
N3PXf4Wt//46EPvAUmOy/9+KALDbSuaiPquqOvXMesCudO0p9YrtsgOADH+kW6t0WjQifDLtLXEU
k+V7Vn3ATnWkGZQDLm9ENt6y1oxsAVKND/AXsp/NyCaQphRjH7wzM/O3/4VfCBPqoTc6IN4vb2B9
LwNSNTbFwCXQbJX7+XpvlhCcmn/mn4Dc/F5t5H8Fzj0Mz4TUiODCRexEFPEyCf39VfpRYhSERHoF
9GrvG8zZwRmEwpa1ODemiUaZMT0jV9Hc1BxrkJu72Zsdv1k1NirbvNlKFQsk825GYfO7GqfS2Exn
w4RQ72DiB7BX4G20yc+FUeyXDELRbOG5YQrzNlZOt1tKqjc5VJgTkBfJNoMA6QmLRFXISA72d6Oz
YroA3MauhASqw0ENtHYCKAucQg5jdhVs127Wz8Jx3xb34g6bCKK61WndXERSkAtJTTKXJ1Ng3Ma2
jJAEyVCEgmNKBSnyx2wk6r4FrBVykh+pumTymB5SRuZoanDEEch0K8JFkTatK2q6NeJ1y4VAro6Z
CeMrBoaww7744hkwJd2ZpGvpQBEAEVzrekOz32FShxluDkqPBY9Z6ObwKRdDpd2gKPC8ZT+a05ss
LPF9rWhislaFbiVOVrNV4AbauLB7DjVpuVWMVWc+Ep+wbTm0bv9P1Os/Lgfy2/WAB9LDcvCQB7cu
6+VdniWDXYuEKOQml1hvNu9VuOmpOjOjhWTbi9e8pxgU0ouAsCX0CgyjwI56wq+yASqVbmrl/Qn2
nj9v1ok23rPt1CLuFW3jcTSdnaIW0sGFVJBCJ6hSjaNSC4d6OIOtDb3OQD2CjchUTR0UtL3LFWwo
ImDdbfPY+4NuMbuljQHYf+8a9sYRXwsm0iAHoRD4tVbUzlCp7IGErAFO2lFD+t3MnkuP7ebM+sHc
RaKpxzbAq5TVy33GoWNNXdA29h2mkmCFaDTt1h2dMJijFHdtQW+VyxO2Ds+elAiL1I0ZsXZELdhO
EbTe6YI+Ct8ugUBkFk4OZrwZWBOB5vYLsY1nIqY2bJFaA9xoxtMGCsZYmog4XWKa5Y7XU2Qh0IvT
KHQk8reeh/g2crOgl3oc8zpAnPzenvWZewsip+ubPZvfWxvjmF0WYZDKSY51KCd51Yjl6NYsnqGL
Cjh7QVG7gcWLG6kNuUPWAgMx1ohVWag0CpqG5ehL8DBOBr9BGuAX1PoMzq8ZQGaLh2GUAetBuubQ
iwkDmG8nhd3iLpFcRU6+wS1DhSpHcQTNFAGsemqawc+N4poKx89FE1vSOCic4mLOU49UL5PuY3i9
NVBXB3kKnJpVNscDjve6g5g0Gi3SwtJIMHTnsEEidDkojZnkc9Cb2HQ36CwlAaaCmTyZR9K8Hg75
3B5rj6LqHSqw83rW6Vq5eyfHrBYLbgV8e9wbXRCkT8pUgIA3enQJFYO6Csp/dOsgm68ZRfAXiIJ3
hr7J1rhx0sydnrSJVK0yT4x2XbRkzrEUgFlBrWWH0cL0op4SErhlVifztIUadUParEMPFNNNuwlV
iAuJFrnuKZqyjnxxtP1u5373pNqX9vfdk2oJvpZcS+DvOPen/qTqBYlD5WfzlexOBB3L5+cRDK53
us8/T4r31/vQTluYQIXuAjtD0/wkyD8twByOdf48O+nnF7rES/92JYaBntYlWQej7oPCNPfD1Jbm
tJw3grlQulj6oMise9rngMgbA2sOIxC0Lky/ISY5ea1HkfluMCiq3GCP4O8NemL8QoL1ZqltzNSx
x0ejaK4a072rUL6h6wmG3rpb8n6BJwJKYSheMSziyRCVvs1HOUVUIFSh6HigcKNQWEQrMecAJV4C
H8B9QrLyTm9VCCVlP9rDrrCtA2Z+7SjSQgD0Dx2ObYDMB2nVeJhgMwsvWDR5UrqLiirbzZr4ZbV4
YD/U22auNEBa66VdePdk5ReforfzL37Vv4Y+/3n73v+oF1nv3XKRzKmLLvOWs7e8iu3b6n2VXfvi
pn04OEyjQo2cy/VceHe6xMwm++GLZfH5BT7mbBVT0pSYy3Om1nXhEB8/kynW4POL/FXc/PNX8jCX
jkDl9NiHpbe4PVI1Dr4F5jZZw/dhVqhJHorF/eJuXEZUv1vjFCPuwIW4lOCovcT8yIcLrWVRg3jT
1hllzHccauF9FWehESHVFjz5tf+0Y8F0/HYLHudxid6qaP2GJ7pP7d3nX/gPN/nfcu7fHus/Pui7
dcGngmueYxsZ4ik0AzNa7sZE3YiYRzyoupgk+J1jDNLwTV9EMKamyDnX3z//FPSi9n38FO9X52Xz
efcp4FNUntXhd39edlbk+kPMr13/qnd8ESZPNDiyUCX8LOIlre9oep+FebKk2Pf8LUHGug8hnYU8
NI5jijzklfAx8C4PHxt/PMNbTeiO74CTpt2Diu8+/+j2Vw/WhwrasHogP0aBdeljMlrc/9Sxvidh
G5RhFoqwiOpY7Zvk+vsxGnc0QMNe7kuf7zF6LMDhgzyc/yMLHj//VH9kuD/5QdmH06FAKrtzGT6V
2HFfBFuqkuweM6VkAGuJ+cjqBIDnEu/cptYrhLTo8+tflu/fL//v5+jDboOtxlh7vS5nc2sid54P
myHP04hhFJ9f57KrfHadD7uOV2CK4LRV6xk1NZL2380lndm31Y5aE/atjj+/2u9v9b++1cdm0lDY
/GlbjmfhSnR+tzq/+d+7wIeeDyMfK8YUGihJD1YJHZC74edX+OLGfAwYY9KIV7srHrRGn3tAxdp6
3jBK8POLfPU7fdjcelKB1HTL4bxc7go8Lb6UX2zUX32PDwtsbLZ+rHu1nudpASZ3RjA12NT159/j
i9XlftiVWJYbK8Q5nAYL4gkcM8qq4eqScHXXPigBC075f3Fb/7ED++33opzgzcBw12Af/nUj9GzX
Bq8zjGdH/epKwDkCIl/y+df67e15d40PD00FbM1oEZA6UwzLMcwbpb5QFb66wIctcZNqscumnc4m
Nm2I0dKuvlhhf5yPnz34lwPl3YGB6KhnZRXWMXoDvw3yPdD8E1qEYN8FIsqvRl99YXx+mED299rg
8q3fXZJA/wM3I3BGPUMYrrGrnnJc25/fEHDfTf41ZuXgP/g0UgF82hvDvx2iy6l+/dJe23t07cIv
MSDKTzGzMvnq4/32IGfOvzYn9nHlFN1skgwPHbm6HOSG32MmwK4mgS8TJ3yq/T2CFYdf5jc0Z93D
epj9+Yvdy7psT5/dlA/3HbgOEy1fUUuEU7iF4J0tUNeHKrzlZ3a0kzF8seLMr6HYxl2iEy8wvtih
v/oI7odzz1hGw6lnPZyNQ+MvyLP45Q8ak9A9jD+XVEfq6CZGYvzKXzDSLZFXeVj+/Pzp+qPx+uRX
cD+sE4mxRU5fY2l2MdgFH3mOS1W3k8H9tFt2u+JStJwxZPXJjJtQxTpxrzFJMxwjscNQytfqi53S
vjRmf/s8/37c6YefxDM4vKEaW0obOQlLWBUu8RZvR0Sg/e/5Lotl4O10ClHvuATuQ4QsDG7RkMj4
rggvRcJ/FQf/r1v30FKx4P+zdf8/qjf188fbR9P+n3/sT9PewuvLLi8LhyWOcff2ha74V1IQ3Cos
Bse0bSQI/4gD/gmn4lVJ5kVSv4yrdgCg4k8BpvtjOLb7D3TSwEgxvQ9KL8cD89+AU8nfpx25iBsC
cyUuphMgrnhZbO82QW/JWz56Yrwqi0HvvYo7p65eDl5dQWsZu0ek+TCta5CAAt1q+ymgwhk344rc
TLuBMMQwwRsuNLI9cr0Zcmff9KqJL1EpTBxboddKYiRFNcEP1iLOMR12B2UKM+k08kNIEuci4FOL
itrV1Xi35vqFC6SpDAbl18WwALhWVu/sp8XY9lTXkFuDFa7KfqxkuFoZhlcb3a+c1xumF5kZ0gEI
/wgi+a4a8+lRc887WAWTJ8+uMSakuNMjxstFHnD1WBOvCKcOSq478Tps7A3oDdgc7HGYHtwRfpBu
N0RtTgI6WANUa332KIJAk93weKqQ6AOyi+kDokYjMvdn0gOp/Z/sndly3Ei2ZX+lfwAyzMNjBwIx
kBEcRIrTC4yUSMxwAI756+9ypkk5VXZbPt96q7QSKYoRAT++z95r93X73IGXXpCbU33ZmhKfq51c
TuR4WA83BEtITYO89SFcSoQyXuFNEmsQ9bo++Ygn4b4saz7Gu9Zp0w34FEzqqTQOQTd8TQvrzs/1
ejgS7NH628yo2Se2TYj5zz20ziLrOxcDUrdJB/SujeXF9t4ygLCSJnE+iniYjqqIeT8Ae9uuVX2z
5PLKtZuLukyvWt289HttB2X3QqvcrVhJJbf1Rofd5mTNj6k2v7LBeP78zPxvf3g4usEI888Pj8v3
rv7rk+O3r/n55KB+3EW0QGXxSBEyOv7hyaETP+bJoBw3pHw9zu2fTw6HUnMMWwHjJqODp8zwP58c
9hfyxaDwPQfOM4uof2X3+bxY/H4KKcHDxWIdBBDSdE8ZyP784PCMJtFhD7BYkB4gcwDYuGcxQmy9
1g723ui/yjiZdm3jYLnmHW1rAMT8YQm2Xmbmz5kJtwkSjxjao53JpmIpmU96BJB78G4au+umG879
q8Yqsnutm2Aap9bqQVVe5a1fpvmLVTrrLWiFhAVsbBpRgocGT0Atymxr2mu661spk22rtk1gh7QK
vrbRA994xqeTsxaYgTfP69YaXJnJnVnPmXFRVdMq7pIVg/s+a+PcjHqRdPvAAhiUeTUixdi7205M
+Z7kY0sSKTb22PeMaJqh6JCZ7B7WMR0M9t+Lu0aWHNhfLGawzlE5WG57brxYW6PabjSJS3t1z8Mi
U7FtTOHeEYvFyQ/nO49cSA97o0mL/o5pG4o8n9LyesbIbe5bj/8GbSOe1smG7dRA2CZrOqfCO7YE
6PTovx9R/bP+gnP1nz+iwFn7zwos2f/tkCdhz9f+/KhyyBOSJ5kXqA04h+kfPqrmF85wsiSY81yP
VpzfP6r+F0OnRQXfHEU5LBq5tv38qHpfkMohPypTJp/vf4cD4KHwp4mRz6qn+HIB3xMOK4PIXw75
oPJWtlLOeF2OLCXjsGsF8PHZsC/qFXBYmLskHfIEZO2snfya3G3uVCMtA+42rTW8KX1+Pyf9ZeHP
d6M+n5aYDoKG8PoGSAa0k2y9CLL+YeL67lXWkcQWnFPsvC3dC80803oxuNiG22O2AmqtMIRMcQKk
3AvmPWmuD5wDmE4+z5qswNiA/B7RTNFuVp91bJ4TplZu6kCmz4sLt12W9hIFuA23etfc2y62H1R5
k2gKQZdmRSGcCEUm5Ea6On4s8aRjLFrCTqX7sunNJROfxyxlHcP73uYe+H43e3IB1mzALB5RbaDX
ZN4GLNOTm9h732tWtkrWLmWhyQKXFac7OttR+Ac5Mx8t9thBM5rfFhG/VbiIdEF8BFzyc0aZRVjZ
xb4o5iMuvHpnzFMHdFETUNmbH4luO9vZqJ8aAeLASkdrGw/9uxub6xUpndescVhNORn7UMesNmni
RlrtG19N6XVbG6oYS1X4M0LOwX6aikvDaUe4qgCuN4Po+h10u3C1vYwlrCd25WLpYYk5I/JT8K5J
QPBnwK52XnR/3hYAIXe+yJptXGpL2PNu3nSySCNWLbBOdDxatS6zS9DC6IzB1N+Zzrg+TDzutkJX
XkdZ6ufFrbzdOhXFs+hG8yLzPPdplFVFDshob1LXzI6+0c2nNojB4y6luIDmQw5Ss+38FE91o2BW
82noVmgRa6XHb7OfaT70Fa091qZ+W4jAiNJ0ar7pC7/4fcwB9QJCIfmwfZDElZqnMKIOUcGItVQm
kFA1dY1q/pIddyQGsn7BBM6A1jKoSQY2XU1uWjtcdWqWi9VU57GvIhzDpOepmc9m+LPVFNhWOowH
NRcyIEJBIwihZsZaTY+umiNXm5S0ULOlp6ZM8Tlwmtmd99sEyiwq1FRaqPmU9Il/dEXJzKqmV81n
jpUMtLOabEFtbZWD6Le9zn/nLTXq/PPD/PzaZf9p4OKLfj3F/585Qry9vJPA6mK61f/0FOf2Bp9Q
FZczBakL1O9PcTWJ2QFHDWVn+Pr+zVXNVPPjH+796inO45unt2mrn4Jv+OeJC86347oarGyMxg+t
VfZhCehS+ScwPK/Vzm/dvUEpj7NoIX7Ph0pgUdWHGVEicO9z3z5boj+S1Yna0Y8huXpVHUSZ+igR
UjcIe+m3iVZ3x37KkoDKl1x7gwQIRbr+zB2w9yaD4HzGEVQwAfNpFlUqrKCr2AL2qbtJBRn8cbmm
RMnYsKzdNulakNAR9wvpB0EKwsLZuNFVMELvpqNLUiLN/AuKQragt753cFgIGMI3oCynIWNB+P3B
HCWhix6AdUwOY2y6guRi/bGoiEaKhyBWoQ1TxTccc77GCf7aljn9OeyJtwtZDzyLK7kMbKMBWZBE
JxTSiNTYkSTyYJ1opEimWYBbIFdiDMTFOUYG8ibr4IXMuB6hpxQMhjledmPzmKqMio0f1S8tnkYy
Yuf7UGSQMjtyLT3MjlEFXYx4iqpGfJi6scWq/TUg/MzVsTo1SXU0quWhIDOjifFD75xlq2sL1g6k
aA5TgnIaIFOO0OLQSq0JrRQQImm9bWzqQwin1L82l2YJ14W8Fthz/JDgxfsAj4nIcUtV+qIBrwPp
VrOkDpnfv2P3hXJoLPs+ZgEuZyOsffOIjf8wDN11XHY1rNlsOadt1zab2nWHat87mLbIOkMs7LtQ
SgfYHEYfS5hQAepxZ/NwLjCjF+Wscf7O27yeXxMXvzbfU2UuuVTTVDOlkGdSS3vVuyQPsVFYG6Og
R0YG74sKZQL2xWCsy2FnDqlLh5UFe6Lu7vDV21dmX4lLw0wghHh0Uq3dcEjHmaekC3ujHL2tX1XG
vtayHrtf614RN997mn3E3vSgOw5cI/NhGnvicKnUt5gEjCsLH8mpqQUdPiCeotRBUyTBqoF1UZhD
UBDICIZ+1cyWeZvh5DlkxbgPgO4vU3JRAcsARmO+0pLhbIt6ya7JEsOcIYG4+NVu6OW0NaBwErav
3xaJaWbMnkQC7pAQUZRQNRXm5VJeEz4GDPP/oyarZ8DvtzKfsRQ5Sd3vmBrVRfAva5TGmsei1ALj
uqxAZP9wnO1UHf/w3Lz57Zv9EZD9H/4KTIauZdPbYcAvVsPmHxSjpUlmmWdYbwv5NhQ3S3NfB/8r
Ke78Yv7Wt8fp8M9n1P+tXn+I7j9/1a9DiloXYjCmA1jD9B31Av/SE43PfJD7CST7k5zof/F0TiHd
+O02oWr4fp5R/hfToJQdCvVvFxTv35xRnHx/ev99nlEGTYCwrQ3o8I79l/efaOAqOUtM115p3fNw
vDMlqW9b3hYz3s5JFQokOjhgwz7ky5JvK1U6EKv6gX4eYigqTYtjbcLWTkuBbkNoSBtidzjTXFIg
xi2VJ2QhAr5X7YkUhk1jHIOkM7mNlHedqkNYa+EDSpnPWst2GtoFFAhVn6DNTrz1VKVCOZoaQYyp
vdLpW+AMcM7euNan3Pw00TExJrGkv041NUikQF+VN7hpmmzWrr5PawWzUQ0PeiePyBu72O+TSBJo
BBRZvcOafoDTq21K0zkIS7vTVHME9tvzugIlXB0QKAHXp5ZMTYiQgFXumBsnQ5VQpK+dxXM8OQgR
J9tpHOBuq9YKFrwl5/FcbE0gHVFDuQUyBQpGTw0ctRfARsgM6/yDCEccyW/eLBoBAEhJ2noaaM2Y
bf/Fyd2jUHUaweKQlaBho0u6m6yicoOsN6yy2bhGvlB1HEOEjMRLYqHs9Ekij56q7yDZ89VMJvs2
oNljNutbWfvAN1XpR2ZwnJoqAEHilkoQtxuiJhasy1RhSFwQXup0/2TSJbIMmb2Bg7DN/ZoqGWAw
+krxSGsR9PQlwrIbwHHmzGqjRFWVJL1uhTHtJYkGWIzryb7V8wsaGO+hCb0aqvSkWopNr/eEHNJg
K8wURyhu3Q1ZjsOkj2bo0pxCNaTk9WuRcqo8LGKj1lGZ+vrOjynR8TugWIW4Xu3ue6aKDc1Ru+EN
/hqITHCukxJKC+OJ6O65U7WImm8D1J+sdxpy3kdvWXZSlSi20o8BBTlvFczADYgDcreoz3ReDHcO
TtrLytcvxjx/buhnXFVRoyNSYmnaqV0Wwq46pTW9qnUUBX1mXFev+nzl4zPep0n81qYekAYLCHOu
VXfxyip5NofHlt7Iou1xZNIkibpbYuZ2mQZpmXQT51uX6unFqAooC5oo+Z7TqUUKgMkqRNQnbhd+
8nfHDpCyEagXb6YWRXdjd0vr16MUOYVJKzdsKev6QpoDrkQNzla6ZO2mlEyh64wSleiqRDNNu5uc
IXozEcKbVdWmP1QPvsmglvSYfUbawKQpKE9UDWFxCQBDqtYwXJbmUaomMfHZKWYOR121jLV+evQ+
e8dUA1nr0kXGY7HHxAnXWfWUCQrL7B7yAAVmuVh7yHOYAZsSPMXq0HMGnpfGM0JA24AStN42ACzz
PzTq0XIUCBLX36DjXTrdcCGoUQvs7m70KDxaZbVPtRhrdBWvm5rytZEStowBFmZXelPZw22RTA++
qmujto1RBWAD9RCbiko3l4uvPeuHRcr73ld4HdX+pgthEeyfTwXFcJ5qiKsWX27Mbj7HHZNkvZQR
Kb/IM5sLcyAvs1A0Z1M4l1E8B6f+Cqz+DWpFy4At32KSkBsK557KVFrEcoA1wBB+karRLlbddr3Z
3IvUJtfeiGgsedfQo7AUD9aQO4fMdmuYN6q8JRUQwFWdy+fJ9d9rplq3/vMRfv+evlavfz/C1Vf9
OsINeDWmyeEImAZNjtP41xFu0YpLNIRHC1Ffgr6/1EJbZ+9HRbqPI4A6AXWZ/HWGB2j+5IL1z9YS
qOn+vznD0bj+eobbLrKj+ruICyBa/mXAo5/R0kt+jOsxSAu5zS2LmjP9kNe1xt4tQUSnhs3RVGPY
OBzniQZJLonAAsfgonfgiDcYbHdJTmxKE+1+yCn3rA1aCyH1RfnQfE/MGSTp2g9zvHddMWhbSxse
JJmurwDqp73bufEptRf3mM/e1m1J3TZ4+s9knwe4YCYPEs9462P5oaOWHZqpvurM3MjoBZNFlM0D
qMz51htz97ZtqjJMisnf6iX8xc536XwNoBwm4KEIrDTBBiNq5M/FLk8G7WDkXhzlFeKfP2Q/jNqc
6cAdY3hqdT7CFwB8kTRrvOm5IxKsrI3r2MwxJgyUxPRpUB88cnxgDefbNSvrTefpBn9LRsUn8JJN
Z0FNDqzpXHrxdS7Si7k2D31HDVNfm3S1We2lm3AjFf1IawvJZuHIsHDF5ajpmDxciwhA1QJmSwkt
d0MXEQsjNpq6caT7miJ43UH6P0Dn9o9Ou950U7FsSYc9Wq33XXTiqkWpZrWZXqA+3zh9fJ+MjEwT
kuRYBB9dYx/1ITg7LGZZXGpuCDHSAxMtnvKpvHDr7HnOexkugfYxJz7RoD7Ysdx9cergvak9YPJQ
ucO87n2ukPxaxhK0h5Um6SnLJh6QJAhfaMq68Zf8odA9CiMq3ItlTY+MhqIIlYbYySrloztSD+XO
oQDWRb8mOL4lyVKe6+2DAKG6q/QSnK3vJlsaGe4FL31ZmpSbZSNjQL0aI/wfjbYse7hpJCke3Zvy
qFuH7xQ8P42gQ6uktnexZfxo4gJ2I9jYi5pG4VijNCepvXHnzlYcEnmEZ8/bdT/o3Kvpfq4Qeg2y
u41tHbUhCPaJzzhh+YIPgvA/FhRzm3uR1UyULlDqEBk5/WNsmD6QNl1+2qUK+ew3IWTzcpet3sZN
Y3qou4BkUsZnBF40xQWCHtbYaENEHotQ27hPRhgyqT9fW2N8MJ0aLm597Rb+UQP0MZhHVOh4Ogd8
T0Lyd0079aG7eDdF5T56Af3MNVDVycoXVRK8L0g5kIl+l3X/RC5J55rek/vJmyCSkOdCEfQBu+p6
J4rmbJrDXgJTlMnAmJGceqAwMByx8JugQ8rxYA8wIr0p4N0+z9dVaa4X0OufU5ldOS7OAFefvGPe
eiczqK4wGexLzeIEB3YfCjQKagqJbyWpgXkoMbLjkGcnc8ggpDbPpUHHkw/hCLxq/M32nMehk9dm
VdigbkRAM7HhEshHQ+/qfkEex8apDf0+sWEzBUSqkE2qr5MbP64xPx/pZmbAjCh8z9eB98FT3Jfb
Ji+O8dq9twDxI4Qp5jh4jzqo1zBdcPMG/FqRWdJH6vBu+wlKkJUNSwT0yiam07mHotU/cIZf2ll2
yihxYbNYWbyt261eZc+ra93HMa87UXYPCD5XgyI3vjp+8Iy9iypJq741NYQS6C0fbjDs+1VbNi21
A8QGxtsuHfZxbd6PqTzr5Ik3XuNfwMclWOdVt2VLfM3LtIt0Kr9lTl9v9Z59y0Ivc1KCopxNJ8zb
sgzdeiqiEmrkdtXT81pPGpYA6CdaV34ka3zfNgmxOAMyCb1AzX5O8x9dA2pFMDHp/rRu4T6YYe3a
+uWUwIvs/WbnTR53opYtrGVNkTb2TVgEyd1sZdFgaocgbi4BEyAUNd0FrWTUxBo0YbYtCV0LLFVY
uoLbU7U8VZ2ae/XXVs7ZfjbJZPrTeIUG9Y0Vw2nlprepTZYYo71jFifG519mTXfIZQwkgDcRNzyA
e9xy94tnfF+N5uwkPLPnwIpc6vBao3tHq0S+al+J+kUeidyNXIbQtoxn4ddcUHyifDRCxIV+8Hqe
pkm/s0feBDrPI4uTwiPPu0WYLOkr8O6bITuvtvNe9DwoM8tVA5ZHbQi03R7cgmFNbGNlQEfxSmm3
PcHF4YLhlzZXualLAX0RJYJU1ZFKY+W0ir2+JK+cnV0kspRlCB6YCNsQoGtf8/caQc99J7unrDDu
nHooVb/7N8Prn3NivpQ2+zM8W94apddw1ZwBi5r+m0U4ZN8FHbcx8QbykpZ0X/yQMRnEICe/X7NP
v6JfwdnGTXvDmQdgjf8P9v9lH8A96knRWY0moqAafsRuwYXXa39YaX2d5wFEfabjsB/js0Esn2Xb
QsJABOM2mXsb6sJQqk9ZG8a+g7ta51PWZPWGVRIbkeSw4G2JPJ6TGpPqpNV3i1jTfablL4XXfHcm
mD9phcM9LvbMEbwG8XhnwKEM2xHi1qp5x6bnPs5DnKA9oxEX0HUJXc2Q1wHJ8GSpPgiXiNCvpuuZ
DP0GuvFJtzJC933zAYs4ifBfPU9CMyKtJbSZ1O5rkcKLaKB06O0Q33Z+feZpTu3G2Ybflma2o5H+
Tv2j3hdBeyVK8ALupsv0JAFE0I5rRP6yTf8rhf3GfVSAmH+eo+9e6/+zea+zXvx9llZf+WuW1r9g
RGH57pmBTmEbU/GvWdr4wtaFMRrtCzq18s/8NMm4X1ixmUiXxk9P3k85zFVcf4x3KKjoqIbz70qO
Pw3lv8uxyiRjOsqJw2SqDH7BXzy8mD8cGFe+duU5jAmlOI4ZF/u6dFnbGL1gA7FAo7GtME+rW90H
goePhohkS0/J0ottmffHtQO93OCO4VLugrydlnjbtv5EH5R8o/PqgWKal0Zvz3CBj/T7+Sdm3i4i
rQ0pktE96PaVUeXwUcuv82eEsrW+u4xMowedQWW+A7YPG5gPDkpH96jP3gf9vfMun5q7ysy/eUZl
RGtBXemgeSsb1vbJHpphmxkN+h007JwCrG0rtF0NYJ4Stm4/FdQv2bEFLmOoLtLVm7Itxw2nxeSQ
q41n+6UpR225zSkSGXdYESZOTCF7cT8QFWzmjWHYJLgbExVlCvDq4YuhzqmK2IBwiBIIGYHK0D6Q
3ww5FuyAJ3MlYKINev6j97z3mM/3Js5IElr9VTl+MyWR3HiZaC0LwDOzTrnzZgAyRmW+5KUEMAFN
mlJeRkcpxks3lvKi1eu31kzhLWCPIyVMNtdIiLrb5m1bJGgDqYe+vhT3OoiUzyJdOVP+O+v2U22L
B24RdBfQT3+Cd7uE1ABFtRdcWwnMh1JcSUPuK3igZeBdoE0+URZoEIW0lqMAtgx5Tj8aA/uWlH93
ZHGShzGr4o1erlbIz/OIZyK7GDOPRCW/vo1vxADRJqu6jn39vvTLcVc1sGoD17u0q6xHIpvajK0T
2PKIvKzLhW2i5NpcbnXJjk53ie+CTPGjrtHvknG5jdsOaEdnXVOcDcHGZBnl3jq5d4zLdV+MbGL0
VW7HPkHkqK7nYNybswm2WB9DG/eInBrQkQ7eqyp/hN8CDpkywcl/qLSVfoVOHuYhuSdRf+qm7K6r
hqesNw7GDL48L9MmhJHHtQnKyDxOzo6qUlNhMk6wvPVLXnJKaYf8PZ/B0Hf8bNqSOBFjiHOgtXgz
rx7gI+eFpWAUq4VlP5TnNYm/ElxvjovTJydLAxo0TG+1BkxZ3ncDQ3HQBrdJmm8bObJWXS8613jQ
g3xCWsr3MusO2ZKTs7ascyaLl2qAcKB57q7pF4/+hGabNkkWGiDWeYdOr0FscIpX03Z11yuEyGuu
ZY+mOV0KqeEQmLfo+9wUdJeceX63Jun1ZNiPbQdPyDEeylY3It0EhMkZHWaFdhXrwT6vanZc3K+4
a76N3Ecia4pPAZU9G2ssL8uSP8YkOvVDv5m66ugnwwnx75I/uUbzbFkXtMz1sPWn0twZGTxGd6Vq
7mvK7sDEdps855kZ1Q71A52jf6yaPBTZ+CyDaTcFcDh9fgTLf+k5HKvB1kKEu61lDGHfW4cuaZ4W
z0s3ZsXiebLdk28OX32jJVc7TyBrOuspG7rjRJ9mqY3xRvj2rZUnR7oob80ap8yyjmdnhFZIfTlD
b+cfg645gCHYZ37xmJvFKdHlN69u9A2tal/71N6aTXlOa9pI9eGxqOy7LuO1qJrxu13xUdO7czaa
18zjwzFZ4PBBDDqUZnvJhP+VN8mFGLgdpl1/TSnPDvw51MJhfMI1sl1Tu9yNUmdjNl2yUbvULJ2b
waQdbUiDemfv+q49Vut0mPACUdh9grGy78v1FmBgv/Gq9mxZ3eXc8Jb1ueFXsvxGi91LQV+J3TrH
vrPfJc7bVLhHw0ofRpndOb68J0ZdbhyXKmYH7XP03wqAXEYF23Sl+zE2u9PS1/i2TD5hxnRORXGZ
QfaaS+suKJnhoUqx/mhxqdDYYI/ZjsrBa4ctaub5H//V+BgiWKIief3zbLIZ+v7972OJ+qJfYwmr
OBz6VOwqh5/p/nFLR62yWo7BafEsF7Pgr7EEiY8FHeNH8LtX8OdcEnzBJ6is+g4x408z8L9w/X+O
RX9YE6s1nfICIjRYAAXZNP9lTTc2s6Q0MbWu5WzrCPjjcVpsXCRofchM7Y7CER4A/fLomfiaZGJ/
R7o69ejHW0f1ouXAE/Z9x01hEvqm1uuzluvdxl8ZC2Y5wuRy5ZaSHNDLYnhbgvo5zZKIsr6vhZ3v
66W/MC3za9uwx8vbBWdfY0p0KfNUV9QOJpr3TRYBPKWg4oI3xd9wKT5SCIDTTXCpd+fq2kmsa2Ny
o6AVF17ZHgsafI4rWIYQopMfjum8p7o5Mv3mg+QB3SiJcwHkZ98s3ZufLXgJ14eZrMKmMDG4WFQf
blxUA6i0cajPgkhgkz5MxvACm8AO0yI9mIOoN2Dku02VWhCZeayGWWNdFVV7URY2Ok3XfbRjiu9F
E2xFSv86owMonJL2OnfG5mKuekpfMjZ7XoVJoki7JAz0JL6SrtAB2AwrDT32+uGbI9la2/u+Zvxy
m7hKb01KzDap7N5T3P3nXJRHJ9CQq8xm2ae19K8lVoLI8yZetSFFKkz6JCS1R8tLUgMEQSfZY1Bk
eIFORXeEl9zqiWXQsJEnmzZBd6pqpWtMYAizyuJ2tJT5wbLmEvdfZoLnUWXEkLotd6b6jlUGDXqx
wXMdOG5pywwzSBPv7InmlK7qzX0voHHUVn4ioXC59jkKlHHsl2TdZpX/Ea+5u8m9yo40mWH8GSgZ
Apm37HHFlZGepzDObGOJvK4N9n2OyS7HxL0P0EM2VdLRqUR141eqV/z9oPzllgELRNfjeDsiOW6k
ZWm3JQ76TbXyL21nF6uFq7s7P9H6MF8mf7OIpIk0CiHBbBfZhcNabI+wfL+Y8gawTR2lmr+gwzZv
QvHLstSlhLQN7IsmYN2SYPDYLKv6FWVm/TJJJ/9WE2HcSCUBL0oMNucEZVMJxA6+z02qRGOwA/yO
O+jG/sRklk42i24PnblQgrOupOcxqeAbQfUbnDKK45pNGj14gAaRrFH+qw2LR/QBgCrgz5C2XSVy
r8jNOaq3O1VFJD+V8NIsr+jP7Q8QzD76en3rjRFHfMMRWAYlpyJ1eaE1u9uya92juzBEuJo37qlY
sr+aqPFZIHoAOJ8affqp18MS+z7xU3lEv2ED5Vyq/bTdk5S/B/0JMRd3aqizA6jVMmBSa4GA/UA5
SODENC7DtUuiTC0RNFs/ZGwVRlZ4IRGg+6rNL7y8vpk8GWqad5bOS+yZl4NwxydW3++T259mW8Oi
01Fk7k/DdBqkB1s6YAzMOlxKSaGfTP62FPViHO2Plvag0FghGU0o8GPgPayAlDdZvvobWOo/yCzQ
mllVR5Evt9jt4H8iDghlwK0rX+yLTJVtjSnu3EXMG8ZsdHP+eC3NJvSk5eyWhZfQaKvrQUvuyjl+
0cXw3Ng8HpB3x61XdJfZZLzOBYO2LEDyjVIkO4OeNQMFsi3sTimIeAZWGkNKOZ6lPz0OLqt5/Es3
ELjpnqi8+ohNnD/Z68y7RTmGTS8uh1w/0EJYh5R/7XJdtNd4i6AhMhNBIgq2FJW8SxSbjTNm2zg1
3WeSPxW1SvV8rqFgCNuDceg8UT7oHLMKdEm3vnHzoRhYzAf+0eUu5Z4FyWrdlq53leY8ZQJ4LCYQ
wiLAuzwK46C1Lo4o7gxmRr10NgEerE6lKdnWZ+Vb7wcHr7auYHrtNbvdJ0DweE0pUDH4b+c19bMs
lNnwITPvhobxHlVvOfZw8qLBK0PNLm4pcdU4CxQqbLlM+/K2gjFqZOl9SSt96rJrGWhzGqoMonIf
DqbbUZklmf4W6mx8+kvKEFsZ0hjsD5ws7/EAJptzTFv2tAdIH+8Dwm7i1l/1DB7Qf2ejz9lIZRH/
eTY680x5796Xv49H6ut+jUc6riNIgRYJS50g0h+jTcYXsgqWh5bBe/1zcvmDasN05HEb+C1H+XM2
IvLEqhKVBxHIdVRY8l/MRt5f0CVKs7FwzxGUsrC4GShLf/a3VU1pi4Xp6aqy1nFHtogeKN179vwk
Et7waPbut2K9jVnKmK0Rma1/O/TJN+7EFAaR9wwbu9i29XJ2T3mifbem4lsFghG0kKLod/Wb21Pf
jpXw2FQcWkmNGXUQO8fo4jDlaR5iGH3R6rF5M/qarr+4nKIcQOpuTfPDlLFuiJPuoqbdfpNb6WPl
iFO9BM+r1gNg9Tt6edrXJS9IZVqv3F+f5pFFi9vPZyqWVOl9QdaozS8Hckk044jxEfP/C2uZ7LJu
wH4Zk8N9tMm/FUP5Ao5y5fpOplhqYuf662FtzRfs/FecR+Hieqwb9wWMpjYQHbzd6duQZs/49fHd
iEfZackFboZtIO2wqscrI8cPD31hXrIrquW5JAP9o875h6B5ki7VFofHdBXgq8HnYx5tscvbHqOJ
CE3zLmnPHU1NffGMJNNu+BH3UjIxcbBtS5tCiB5TUVjkpv8ttrlbcqQfWJopHBh4wVg7weGYqFig
uijOhmgS+Vc6YU+uLtadTZoyHMvy0IryR6el07Y3JepFp+87CpdCZxxuuPrSHKa7bAHBfaa19d5n
mX1R1vx97Fekk6y0YnRv+rpk7PncE4xSKp1zWhtY8PmDd5r6DKBZcFU19tbNHQVdzIE20+tle1vP
WWGe2epE1h3UB9WdmayCYXcaDWozbcw2nmTrltFTQs0Wb7aMqoS+Wm+C3nt1Gu0Iqa3fDRKdSOl5
JsLOpBQ+Ty3GkfwWpf3Zbf61VmpgyiunIQ86yISt0gu5z/inlhqC0hfnBkkRs/dDisTYKK3RUKrj
qvRHoZTIRWmSBeLkqFTKEblyULrlqhTMDCkTVLcVFuN8qJTKCcoaIWlx0evE0eK4IEHBqos7qeBu
aqOBFdxVAUfqFLdXm2b0zc3CfZaimBfw3Jc991yhLrwrN1+Kyk7gBI+muhKX3I3hDr7lMjkGabLH
PF9uXG7RE7fpZtBw7LhHvRYXA7dt4brHQk+uNW7hNbdxt2j5pa7Tyeaebg3iPKiLe1PMtyVFY3Oc
nezB3dbc8JtAHA1u/A43/zbBwsi0C2bUumzQBiY0Al2JBQNc7DjpnyYlI0h73WXoCo0SGBaUhg7F
gRTtJXLKASAVG20lSuSoEzYqRdJ41zWqhVTyhZ+Yd1LIx4TZOZ7zMxM9VSXL1xpqLwJh+liU6Y5O
zscEZcRJmMXdzEfVqveuEk8yrz9bSk6BB39ro69Agb+tlOCS6G2YosCMgf6kK0mGRS0tIag0cK/J
3OCyXpWAU6/V04Ci4w0MHCg8xCSpgkXzsUr3ZUUDmrQpotVsV6IN1XiypdKK2BBvuCxEq4yfsk89
iVERbcnMkJnKT8XJV+LTomQoTQlSnVte0gFzsoPiOCvJSkO7StP02kbLipWolYvkPCmZiyL5t1EJ
XywswZEG+1YEV3jWqAOEw1spsSxDNcuM4USu7dFCL2O7ereql9BCZ8OSwacxifBqXxqJ9jijx1GM
e6UXM6Vqnog6FDtTSXeZEvFs1LxWyXqd4ezq/2HvTHrjtrYt/F/enMFhzzN4kypWr64kWY0nhCRL
7Puev/59x4kT28nNRd44wMUFgkQul4pF7rP2Wt9SQl/t5Z8rlL+ZM+mqQwtM0QTpdhrpzNAfXEcc
a04nEeohVZpnagX1tWHdgzGicm95TTL3blGyY6EESA59t1XOoVlJk0ENIR6tkj3azkW7tJSImXSO
tRmVsJlOlHYa4XuqJE9XiZ8zKqiu5FBdx30qUEhdJZVyUVRrQ8mnTij2LXpqi65ao6/O6KwBeiud
g9TAoMCCHN7xnu/DOXvs6giMhXXDOcgH0rc2Eoe9MWRy2yqvR8TdWKm8njPsNWTfbvEODTLwkuno
fZJfjX6tKZ04QjDGr3qXKgVZcOoD/okvYNDHc2U6l+1XwRmdHfG5Vzq0/VWSDhCnjYJVba706qim
cqbGExF7A9/O5YIQHn7QhreEPXLfTPPODQsJ7pfulrwbig01J/XKGIC9hwN5raHPX9l7b3C3JVue
MDagaBMgMrxs+rcxW3b7INJif1K2inKQwxFoX76qtfmjwMyLkyBbpXORrs2k0VcOva1UcGSPQxka
vpidxncjjwhf1LraKic0CaU0vBhx314Xtd49JaxkoxXNdJqqyrHP7VgsR6riAM6OGKoAheSWvqlG
QIOLrl2MZnMcqvjG8Gg6mhKMf8tDXge3ISzyvjbY9JvF2sg8IAF6/RSwOVm74bhp4AyshhRPCmRV
FgPd65D0az31nlm4XA7jzEMGTDpAU9oSVqBm72FEz77nRi/cWR+E2eyDMboWNkVGiXmC/2/Tdhxv
uJBK0mfmE3WiJzfOLxnjzbVD0VNCSbRW5ceh5xHdzL3nOw3+JWED9yxvuzalvTBfDlXoXNhTvNeb
hfNYdYCODylYpASnCdQ4iXmWY37XYUFg1J/9vCjui4xmxBywoojHg6DjldT7mlGITUJ9wK9IyDo6
hG59Cqvu0bHMU1box8bkSWt6tBpVb0GybJI0PE8Bk8JsV5sliDYNnaZ23b3TdXZBq8+65aKbpv7U
y+zNMannaWWBFTq+xTW2IZEI/T+ZV2bu7KNJ3LUqeNoVmkZVEeYt9isLmZ5gYB2lsjO9bLddou/z
3ngaPIvOXH3a2piNTFpfGC1qigWod56z9IkWoXWo22jhrJZk2mPYDLODViUPUgY701tucCfDg+r0
+5kDtJlUj6UOx97M6YPUhvhL0JQYdZOx33SReUXJxFUQmp/pwYWSn1Qq1LlLZHyQxEy3YRichnR5
r2b7inO+8pJm3YVjcLGE5WjDQnWh0cyVvglmx7su9fJYWP2mzDxCvp04Z5Z2kXVEa7TQ3LakEFeB
jZbVtCLfY4N5tsdkvpPcaXzyPhcThY2+NpaPEyH8SnOeDSMJKFeunwTmYpZJ/TZtBxqyWt61F4Cv
ULee2oPwV8poHzYZfahVeom6tU3xk1zTIHCqKLD1DQeIZ93kH4MOJ7SeMbhY/BOIM18fAAjHEw6i
JT+MrgEsuusvlkY9tW3raVJk50TQHNBMMltRCHSlp/FVOqZrsO6I6dHSXlRBo3I3JlzOLDyOTXCW
bfYs4sraq6+7Q8EOy0Se5tDxzWcv6u6Kyjrr4xRfSLOAlVsdwkrcGyETTWmLFdbuXShKnD7pRR2K
Xe9amAvt/IMib1agBJlD07tPO6zZXXJKByiQGf1rrdE9zXp9KycAG0XlXiV6eJW7yRY3w3wiifRQ
Z/LZmsxbQhblyTaTYtOTrdoanfW85PIgW9rZCXsVu2LgD9Zqnb61uPMr6qL2CW64VVtUPB2xQgnz
btITg2NE02iUYGazZWCBNx1tY+gxWtz6uxPffw8IKf4NIXNgrzzjpYlT/8cDlBELMRlGEV8nFVGy
4rKFlCKtu79/EaVQ/7FZV/Au9SKObhF1Mom24wn4PoWUBlNjam0bg8w/aMWl0CJyfPfdeP/3L8NJ
9M8v4yqSpSBILbyfhPIAzy2nAMHgbnyM5SfN/MeUVVVqQ4yKNBW/rp9/Vy2QiBJbbHZdjFxoey/A
W/z76fsvPou/+Pu7JIX4DfGLsllH/PhrCt2CnICNSuVx7sDy+VtS6z/i7dhW/O3v56fP2qJpLtK4
lV5b+U7L16m+bai/wXr1niX+37+Vv3gptbQgaEt1DCUDP30UmReKhdRLeo3WS76QIkwA8KFFUewa
hPDfv5b6a/90df3wsaBdfH91CT3OcUdk2XVlriXQAM5dnc89dR62f/9Cf/Wmvv/8f3pThZvIsvd+
fSFaKtDqp2jLc0Q9iqv/cq2pv/TPbwpAhYBQa3qspQgxf/+mTLswSh68xXVrboPsZZg2dvD292/n
ry63717i58ttaW1mJVsU14X3kgTPlvb/uJxV9NkFcGPo7MJ+fAs4Ge3O0gwsaNwBTZcsxv/j5kXg
VNBfhUffdMBr/fBLorGd+d7RiQK5L6N71RfY3rr/cu/6qw+dixgOD82zlq5MS99/EDLKqwJ6e37d
MPjNaw+mnH1GfS0rn/jz338if/FanuBtkPKDIoT+9ONrRZhBTJnYxXWkztSbmJIk9ir1qmTGuv36
Uv9GPgwu899vuv5L9/JbrvMK/tv//g+S51+Y1NTPfJM7ITnxfXPZ3RrAANA7/zCp0elG1sIWFklO
hwcA3/9vciehTVgyKuxp/VzcBgMOmZN4hoNAyo/9M5eaVNfAHzcGFE+PNKnDZW+5DkWAP18j7ULy
u7d7+pdMTos1Zjq4lyXLHcvXpnAg2b4E8PFXGvShzPc6WCIgQ3LoZX3M4Bx1tsguyUsITsbUqTu0
muGFZdSgyNNK5AZpzyho6WJ7NMHmSPrwcexzjatdhJaW06uryerQWg3+JznYzkQDLDEmlydLCH6j
QXuYikc2EpQNWea+K9iNtO3QrepBDDgwG6qDQq3dBj29boUBwM7JNiUiF1vTWxLaDW4yTtElfmS6
cU5FHVww0D0ANFbNImWwqqqcReIhy8OAoAGms9hJ6LZ3Oyy1E2Nz7LFi6gNGWLLnj9RH3OiCkJiy
W2h9S9xwUrcJ6VJ7kXvHppi/GFM3+TFWkm6yybuH2SmPOS+BZLih4XPejg6ToNPLnvLkuuPssABg
6UA5ipn+z9lu6KUSxkYQEvWTHh/t6A1fNGs6ZVoMnKBhz50H+pdpqsp1b1PtIup9bNeY4PTsIvFY
UrHSeOhtbOdJPV5QC9NjLRwQZ+jFYP+2rd0edGcacPrK6Rhogupg0Su8mqzyKjHK27oe14Fbnaj7
onOThs1B3aYIZdLf9WrN5E0b+i06UxDySP0swgs0VOHRCnL8Y57DJoZbmdFNyarJynTrza62xfd/
ifkL8ELWJBdiXnZ6GD72RcE0Wsp4Z848AvEg3UxuQ9UUfap63XHqBF9Xi+YxpHOPSln7NM/6XRcS
Ep2ygc0wrK0iuQ2L4SK2TT+l9IhMwRJvAnvOCIHSgdukkHLEJG8E9REbrzbfy0xv93pVqlL78srW
i24Xmfm2MNNPeEMf8oQ7ZFVfa1HFuk9SiWtlEqkpS7ZJlj+weKa4S9H5zGeBeu+7ib0bxuxuSu1D
EdaIFgFCZuRF9noGncyFbkQ0HNBRaMpF7KNxfCxchVkyuscpGB90q723Wsx+YbPsikheJ6291hKP
Fr3uFQNzwTQ/juveTZGlFF/GQ381u/6O82+KJKtzkJvDQ9ha4b7u6tveWZ5TL/xc2xyFJ1xrWL5j
1QLG8doS/achRsjWU4vkpRMdNa08Cle+FAtKiwhrUPmlfgeYDgXTuq9asdPM8mbkjE4Nl3mn5mTf
iwQoiEm7CiPrEj1aWwNq205x9hhbLocSfX7Jw2Xap3O474cGLnHkyXWhpVgs8qzcdl3xnBQQmmZi
n3zLFu8kxexR2iM4Ty3NhcrN5hzytoEB6kHVtFPiiOLYztd4Q9+bDJG1bOqrynU/lXUQHeF/ZBtH
n97TWN6yMSFag5mDwpVpJjo+f4xDjod0YGUYhIa1NuCpwPft9F3m0msUgJ90AuyrjmCugFqJ0l3h
2qzn0l5bZbSn+PnFiTpAqk5RbCZHXvZ2falrFimACfrJlGG7SOFI2x0AJE18NKN1Cst4T736c+GG
xsaJ6oNrUkuCX/MkyBJvvUkbfKN3bq3JsA5hRzHUknAr0Y3kUk9p6MYUj+x3cqVxTprglGfJIerq
uyBiqT8xmBYjdrAyuHYoUau8CITUzN5AsIk/Se6L3BvxrGCJ2LhlP+6StHwsSsRYd5R8ZwFZ2MHY
bMbQobl4GB9k2/WsgDW+00XFHx6nz5PZmXwdp22KKwKVjrlUTgZn9pk4zPg+NrjNXBsOTDFbp8jJ
n6eZ36gu+7ts7IxNMJQPjer2NlswLiQmorDDSJG6gliFfRBt+SYN6/PSiI9B52KoCue+QufDPaib
vp11MPBQwaEuuTdDAj7DJBythYRXsmy4srX0lrfqj310veQW+jw52HU44IxZMveCwCQV36SI+zKN
IcZ408Ea7TujCp4iVy67Jovf87HFJm2NGI7Hpdi36fCJQqAF2Wui82hqBtn+OpD9OyUpKNJ/npJ2
2XvxF/wl9UPfxiQoehCMwFp+5dr+mIs1fuHMYvE/hn4GFCaob2OS/MUTeLnh63KG/nWX/G0xLH8B
2QR/if9TWoTzz1C5Di/y45jEyM4szZ9JCtdSf9wPYztARpc4qCcJoDW4LWx9qaDXlWFxNrUiMuiY
ydvgszSN5gz9rnCO+RAX64VWHSeRF00h03WVp68pjrWZON5g0FQzW9xbVpWJDL1G1zwUE2WN/SDP
OHQ/8GfEa7eBQtAbGI2NddiSlLPrncBU4WGumCptr2G2sBvcPG5SXoTJeE6VH8PpGj9kV8y4x9Yy
IYWJdQNPDxgazBy4EK+MBaKlcnmw+mF3Jeb9rBwghaa/JlhCJiABh8Zzn7C0EEEY34DvXnqyyWiQ
4709K9hQpzwmlV2+N9y4U+U+SZQPJVWOlEXTthOo2rUx6DySiLAq98qofCypqTWbSnlbOKrybiEM
+m3JXIUJxlNumFH5YhrlkDGwykQW/jOzD7eNctHoTehuEow1HgablO+rXyvPDdzf5xwTDrDAu6go
r0lpIaHmgb3NlWMHh+JhVB4eGWMI0bXc9sVo8QBRXh8KTk2/ZwxaY828qDAE5XZ6aEOarSIj+TLn
g0cETjXBl8EDIS59ZYbzS2H0zEC6/tEZ2lHHegR07oICYjbaypU0fPUnKadSqTxLs3IvTdiY6LR9
z7VifOLzPHX25yV3LuGfqu0zNpjkCHjhblS+KLYnSUuplooUceLtYYZSCBmuql9zRxTwEkKaQrrq
stZj+rIJKcWe10w45Gp5abhadHTTEpcCK39SlUklNhY6544jobxj8uupg5l1+nzrcnH2A7vNXdXY
Vkb/+BTudMBZGfumxrhws6x/9ErH24MyEU//Hhp5ruAh5vbxn2+H4K/6FvHjT4Agfuq7+6ErbWVB
IcPEwYaj/e/ZJgPPi00giKMbbeBKpfjjfqjAwGSOIAdzZ/yeKur9IpE00ABIksCH+odU0a8cgB+O
jSSrdO7I3K65x0Id+vF+SF4yTDUnAAS1VO58WJwyN1+HyOyCa8NZm3mOKVgz0DSVn6uP7mYrtCi/
sCqf7w5Q0YDM5pjV6YYCTstv7VzsBRe9700mLt6hfAEbzFnHjl8WgqF+bkatz+7xxDGtXsPmvUlq
+VCpeq0qp1ho8Np4482M17HEfZz2ekD4JQVjquVUCDckfSOnO6HoSA4y8eOgO2dao3dOlhN5pjhs
WED+duNqEDlr9qQ8LxA+SqfkZNqySMtKvDmkLEmJMDnFzfIik+bs0CK673E8gvYwbgzRZZe9tZRb
L7ULn0aLkphW/WEG4Uuf9B2nLXfTze8juVyfEORm0MzQz1gFMwA+VkUIBMaj8o6+AfU8GAnUVlSA
m6XmYa4gmq0P04lG72RjNMt77wVb2jlPtIfvdGa0tip3LaXKTVP6uEAHHJf4RNhjvHdY4NIRkokU
qjIbxxBWHmKWnJsDYOFuB+IupmSW4TjLqj0Nq5upTO4zDHcM6ueqEacIIx7PI7qV7fw88JH2yqsn
prgpdp2me1vPqY66nb9SJgkQyA0u8IJeFOoRaH19GiKRNGd9wif8OWky5uH267NTW7q5IqGGN49W
aPEEKlrSaDSkbzTBYyptOH4b/Rvs1y0ZwJCDMP+a4M47DmFKWyCfrnKMJt0cXVlF4G20cSIz00Uf
o4YhMPHmZ7KB990ynfVB/2w21RHHz3M8JHLt2C2TcWh9iY3pOIpw/pxFdbrCDOWuLXav3tAMK5uT
dWI354CCSZ7F2kXv1vdzzNuCWI9HJ/Sug4lTlhct0Fpsv4+IWkHBkBwUZrFf3A89Ka1NrHcPQ5fR
BFxZhk851lUaSnNn06LaBMsOTh8hdgisa62M3sK0pje4n5etN8KvSmBcG1r7HI/lvuRrsy68gq3a
zODgtgsQH3VkcLBQjFYAyki7mQPtqekE3F223wkRPjuIwg0CkAvECYSO9MgeNfvMTV2sYSwCIT6s
UCXB3hKYi5z0o42wruTWy9BiDM7A96RzcuUZNGYDqV05pTwVY+auIBYO68TCJhHFlKF0w7irp1yh
MIA1GjJ7KVhLk9/e5Jma9inpSM3qbtEctjUqtQwj6xMPqruJQLSQ4xMtNvGhiuRhmbC+hF51Csr2
yYETQrPgnYaBJzK9a41q6Ug475W1XOW5cmJwbS4OUNdKL3p/MMLbYcDDK8p92Me7JonkJp0AAPDt
cT63Q3vgud7fBh67Ppa1W3zyJ4c19ubfR9uvjzaeRP/50bbFXPxXiqjgp7492nTvFxaDFKcLl8eR
UB7L3x9t4he8l6iewhFKmeSA8O3R5v7CP/P0ooXRhT34PcbOpjADz6Zru7+lev+RB/TPjzZF3iZX
jGROsZ9t/rQqSXPSAxM65xVf7WPY1UNx2Y3GTMloPlRVydG4X3aAKSiij/KQCK6MsFiUslDh+STi
2Nze5VE9+xHFMUy9/Q7UsJ8uIZZxURik/zJnVcrklUECj2dhx5tZI39ZLPYVHljgHZn2XI75LXkY
tNJST88dgZQ7sgp7yWG1cANs0RqrfRFrV3BoPFx8Q032QgufZ7LxN0EQxc5NlAEBsQuPfl+L27+5
cvoMw54d5KK4d1yNRVAjo3EDEDTormutjeKH3mIQB9w2PqYGJlK/Tct9HCXJvDcwqo2JdRx7+9YO
LWAibvEgluy+t5jTy6h6M7w4h2jSQ8GmHaTpaP/VzdeooDOa1TNEB+PRmaYHXKL22gR7pg2ar+VW
QYWwKpevaC/3sEKgdrnWBpiMQm5469xJPxuhfceZCPZAxZNTi78Y0r0ngvguLNSHNueXYnvdGX0F
ruc01PuRPx81uko/z2ZYU7se78UiR6LTuEfzzLuvM93YlkXK/t1UBfOJsY8QfIthaPx8jA9mBNvU
zgkdFY27rFqRFhsslNkmFfPRrIxzYPT5ejFZrBSWsS/TGceXh7wj58k4EBW2EYfFFwGnxOtblpSB
TauuS+i3kC+06Z4c6Z5ak4d67HE4MBd5B6lgWMuo3U6B9sWWyzYT06EKqiuOchVAoMavGmZ1auvg
VwTVR1di03BifFYcX97GSE4gtYsnLmmEeDm4e8cicsTldbZQUledV1515K8pOA9uMtmd8Q7inIr0
26DC7tJnWP/E1EAMsQd8o1XkR3b51CcGq6mwO3Z8gh2YVtgNUDpsC3SLqMvNUlADDfJ3qu1Hve2u
ZBffJ12ZrmPRPuRhdBsBBfIr0SPlONohcfBeDVFzO7vBPemM81JTTDzqcMfpTCEYHMc4PZrgBr2d
6t9Ag8euvTW1FvnCqtLdbAeIR7rM1uwQco7DLXx2Qf2wNS/HEhtlMpcU/nq28lUX5jofMhYF1nhh
p/oX+l2OMftW5sj40kkqaD7CPdGIou+EzGgwZ7LU+QL4lp68NKIat7PsrmVjPQ1ahDuVK2uVzLmD
i9L8yGccqGlV3vZLte56l4mKxhZXKUeW0pA6xCRDqUqa0peCEM28RXLKZmPBJuI+2UqM0vmEB6VP
ZY1xYJ43cSt6VNajYTlKzRJK1xrr5DpG6HIQvHKErzDi2h4jFzAmolicyxv8KLRoK71srEYT/wwa
Wo2YNipVTSCvBchswszeOLoc6hHZPlZKXKAZ7xbSXKs0ujzPH3Kl2hnId7PS8WIEvRJhD3vTjKuH
iaO1ji4mZWK7XuUy2ooZS3n9ao6wfg0bd5jiTiph1NGmDmhAuYMR/9qYxnPNVnovBYNLJd2bpR8w
03SRh7mHdBbWLoA90fwGuq49CLfjEE+HvFeJbD+Lcl6hfCfca83PlWPddXlHe06EbY4OkdFveg4N
SVUVkAwFpZTw7lLbfB8WukYK27lMEmPwB+A7+zQtICxouPxkXzM3CpzmhLDeNIyDa71ltySw2V3F
k41Xr60n39OMyDeN+nYsnPY4e2630Rey/nEx8TnFQGvM2Y9tuEpzElWXuTse5jz4THUz5xUsrhtO
duxUTK7WqkneHLdwCfThWbOLYBta5kxnOSnisrK2aUTXeITpYOuxGl5xP2QTkNSfGw8DaqMRoAl2
ZV9EZwyMQI/KWAIIHMVKdrncTlrBzAx49ewUBmCeWj/UoXmRuHG47fLE27U1/jXWFoJ90zwfo77/
ArUI8lXVmUejAixmVwvM/Cks9lFRLJ8WNlm+Nc7a1vZIsmmUkqxCAwXd7oaDmXNq0HWPIdUeTmEm
j4FcTlq85Mog1bBXWs5NTqdr5N55JOQvlharddQvrEyG+abqo/vCWGYeiHq2rUyWPX2kNevE7N6c
GnRA7ljebvK6aT3rNEPAj0S0yaKbLjZuWCwJPy3jYVdVy4nD5gUEUp+B+WagrWBjJrXg3DVi8nKb
K2knb16Rv6J1Y75zZcBmSMO2qNngHr15A79/WIcLapwQbGH69KVMtZusie8wpZVr6McOrikdzItV
vWfM8mEuCH6bFifR2OKPJP7nj5l4rmL2mEMfXwWSMAd5xMEfaxIdZZCeCirH98mUhA8169N4DJ4d
A4XI4KvrZrRC5t2zbYJjirqrauBStrr8LbANudElapLMs4e+xDxaxvGwMjTtvIhK+FoGZ4h2CBKx
6SlrmEQsnqlQ+biB6fr75LW4t4MLD/DUjvXukSOYZHWkoVsWj/ncXIGeg801s/xrwF7zgeJf1k/Q
vr9olfcxThqrEECoRa3tgzZ597Rh2/Zlt2vdatNW/FvgOQ8EIi6W8JRTOt/0QHnaFK0yeY1abr4w
6wiWuQcSr+qq8VgKO81xadnhuCkfT66RYKna07RwPdMH3mwNw3o3BZRMw3bv4iTkP+YGPuREuRqo
epYo0f/42u2Y3D4zgR3iia4xJh0YH85xsct83VfxtVPTeCfHR93kD6+mkrIRnHejE+3MvHuzQlCy
bNTQYuHluvmNGmLg2wOHp94HyyN9Hh7Sahp/akY4Uay/YgxG9U0Vywsqx6RvOizYqCRasfXTqddg
d1zSIzQoMykcE/gQFfvpPA+3ZH2hLi0mN4tmvsuHmrfmFYgRzJ3goGLKPEw1PTTshaLjOCcfkW7H
23D0rmc92ZXLrmVRY3i7Zi58fbrwtPQ+ygYgZ5aVr4Vn75JkAGPIloz6slfTG4kFhK+eQ3TBwCOl
BSLiw6pfQNESZzRGYE+VGJoTXx/M31PFWdd70CsXaRKefQtQcG+G2d4gYDx0qR94ZnUunCYHCFvE
zrgBgqRrj9FQlmINAbhtjinsEdAt8VeOS/mV6TLz6RTCjjXfUsiX8Cv9xZPpsQSCsZoUGkbAiFlw
/iOpshZ2EyQhBZKJrdK38rT32Rs9EeFD8/SGejXMob7JOMaaTXE3KjRNaxLxhFXDls9e5QxeWkD2
RdryELnWC1L1zaTSMZHKyUQqMcPcBUlRpWjscWCFRKiTxwm7slSlbVqVuxkM9dkxm/cSKUJGF3Wj
W2SqLH/q3KuB8I4kxINDTa4KYj26nIFDWReAp5huyuqVZwuxcqJAKZGgVmWDul68Q64qdkvC9nIe
vL1FkKhWiSIZcebnKIH3nLSRExRfmjHfmyqHRLp62YJaubDq7Nagu75QmSWiWuOe++6FJM7kkvVY
c2hvWa3yjVaZp/Zr+knloFoCUY1KRhHu3lUqKyX19HNaE2qIrtOK6hub/dpkHuyGKLP0hiuNDhRM
qN11bidfCMgTp9Xn9UhKqwzFlS3nbUZ6yzKuHVoutaX28ZFS0ErEKyXG1hH56tzuEyEZ9BbCYF6z
m4iGTWG7Zu69momMxRUOYJUhMwmTLSpVBiDsM3/BT1EMuddlFtxEKoPGXeGzpVJp+UIYpSSoNqnE
Wvs1u5Yvl6NKs9XE2qpBvEzE3MaxeElV7m1oO64E+ZwRiItVME4l5P490H890Cuf3n8+0N9kff7S
/lmrVj/17UBviF+gbJmkJXV6gai7/O5ATwMmkU7wRQYSn1Dg2t8O9Ippy79CQyaFqXRkZIA/dnfQ
siBm2cY3Rtc/CHUSH/3T7g48oeHwt/CYHQh2/qhVW1QvFWYw69c2e+l0T8cGaHWvTi+TIFtbqlIu
Wh4DdF0DQONu5BmhxVEL6YEdeRnuZAAVMk6nT01XgRso0X0RmCQwxD4g2pBPHFJaf+n3nK6eyzA8
BiFlUeG1nsjwsoxbD61RNd/pDDJpSxAOsepLprrbMF6lkLK8Z9cKso1naoAHx+55KfP9aKANm/Zw
E4+duakpueDfi9MyMNsjvF1aAp8NYemHQuvnFQzF97iCM7oYXzyNBEjZp7Bhjeku9yZi25P1zDT3
2Cz0Tkx8hxNKSwF7y6vCmecTeetbR6ewcyqow5iChEAic/kEY9cOeov/kG6WAeCDwR2SxHe8CgJ0
zDxqKOkqzTeRPtnzTdQ66qBMKdXY7Fl6qsg3i0iO4rNFOZcgawN10MSlbs4jOSKzky96bAUD0N6G
mEExcGecinTPxFID92fKIBJZbUTA0xYrtvLNe9mW4qf0YBpDQ7dJjEQ7h2N35mbO1nLJmvNQmgl2
Lh4clQsD01DQ3raxAGjU0C7yAjdPXjtP5UJtwNin48ZqLML2ih3c9RFcWVlCjZKBTUZqnM/A4qwV
oUfhAytbg+spj5IAwirAPnMZ2CLxIYq1xygc3N3UhDQQWux+/BrYPSKniXSZ9h+GLL0dykO/rlNA
6bqjvQ6gwRkHJEsABa3Qa0i8MffIPcrYOyF7e9XXI/UAFZdqI60DDWjtmpqw7MYzw3Sjtwrprs3x
RkLp3VkZ1I50aO0dvr33fNLlDvtTtKobLbuBMBke+c1RnkzF1otXKkjTHIs9lDR+N4JJrQA6sjLZ
Kja+7oJRzRuteK3mgptwGxMmsFuQ4p7WnEa3HE/h2FOKGHGHrYRn7iqcaxs+PMCPrf2BAYi61zn6
wBxj7pQTEFlhyUnhyoo5keX6K1zUdBVBNlmNCn0R5oQy6soaNlRG6jzR2DDTJoPTjO9ceGwSQ+zH
JS26TZR4PGEm05u2OAWb5CPDUrf3dN04lzo9SLh62lPHEYFEZ4UCBR0YFjwrFgUMhp2fEkCuH2aN
RYJYAlhelEZu2ohaI4jDWlg/ZgpBzIaU9tZ8mTaDAhQnAlSxC7NYh12cKIjxLEmpGQpsTBoKl1ZF
AmXpz7EiH9tOFlMtCA1Z9s4749rnXgTbUfGSJ8DJoyIo26CUTS05Elx+mpwRWJmiLbOIUjcRecmv
4tADZC75nmo910WXe/eMezc16GY2BUqSKq9QPd4M4M5Dpk0oJtNNtzTewQMAXS7tXbvIT7TCBhvR
5dG6BhY9JFBL4iCGvgqQH0wznkgvL+C5tuvGi25DgevQVfzpXpGobbHwhMUIR+/rHjT/MQVa7Znj
pYZHwZ8Vz3pSZOuCi21F4U2B6iHjV2odis9O2iX70BwIhlm9iZlAWkdwSfbKAtGNqS1/lS1TSC76
gshNfUMFwp2jGCyJorGEpApXkyK0pIrV4ipqy6x1gNYUySUox/CcE3hYtXxdzr368iyK/UIOKNl3
igeTBLHcCeydt5mixXgGyUzuMICMFUtGsye5qxRfZlGkGeyoMGcUfWZSHJpAEWlixaaRilLjNPZH
q7g1qbUc8GJdC0K5OWAbu4e4Y47C2JmKemMq/k2qSDhAAWHiKDoOB5ZybyhiDqIlDBkYOoGi6RiK
q+NRVLCPFGvHUNSdTPF3sNeiQSkmj1C9omPBO7UVsYfOo3DVK4qPBvJ1lSiyTx3C+ClybGfcpvp/
R51fsaP63446bGoB+nzp/jzsqJ/7fdgxf1HbCbVK/0riZ/H9+/bC+gWLkm6j23+baL4NO4xBLBTY
zJtqK68bxDN+G3aYg4RQ7us/dh7/YNj5MeaBldwzSHjQ/URGyjCwAfw46nQ9UBYgf+NNL44UbiXz
bdnuvpv/bn7d8X9fAUU06Yd5indhCJv7CzgOm6mK9/vji8D4NJMkbasbc5SJUF/pFoJWZBqFeRMp
byM8UGdKz0sZO94VkW73CeOOkZ49Yc9rvKOTQfFjtW6n8lBH00XM8OPAjV5iHbEPwuU8ZzeBrflZ
qR3mVkKbKe86UYWrOQJGWru3U9zuadLGZZtPW0Cyum9b9VGrxmvNS1+zOX3RuCf0VXWAi/M0g8Ba
L3EEZqLdeEZGGLDFzzw1H02vCPfx6GcYiTAAWP1aw0S96uxxXw+cH3sXBKq3r80WikzxFDriICT3
ZFOvjvVUvGetjIAuW6tqzt+DitIhL+d5UIoJilXbbFkTXwSdO/peQS1nM4LYrlzxOrXF0cT9jnBd
3MMVPQaG8amZMN2QlwdliJM0mse31rGOs9UU2zqpLotoGn1Z05Vnx4G9DsoG3iFkKNcqu004m5dg
7UlGteY5G3nCLUP/f+ydyXbbyLZt/+X1kQOBGo3beAQJkqIoUZUtqYMhq0Bd1/j6N0N5fGwrnfbI
d7t5mscphQgCgR17rzXXvZLo/jLaeH00XmKO1r0lNjJxh2CzlV2Xp6I0DvbYGJvKwEWdpXWys1Q2
G/qCIdZT9ue40hgvDxCyjWr5LEAv6Hydq7JXrk3Qzatcy27HHEa266QPeMGxq4/V3iUz9iLrRuFF
SnrWKjECeVEbK+GE52H3rCelz+vRi/NR84yppvuSFZ+DBdZaUEPkLkN8vk7frDuqqsU2n6uYLW+c
cUbbxrPT5tHaSeI3J+doHBqQNurOvQ1r682Ix3e2fVwzABAtW6xG1hBUUa8M89OgtV9EkqheYzDy
0dNiT8Qd3f6h82PHItBAJzDVaDtqQhgDvKb7U+8qd0NI6aVkHdPnqJFzqRso1/W6xN3vFYEOVx1+
0IAwbZGiKddJbjTm4oTdU0+7w+dU5TQez9Yb4OxHU6Ql6C9NJ2gnDYiQj9Iju3jjhUlM1J+p3oVz
fVMYJmjIVL8MM9teR2UEHn6CyYEVe1WNdb+BekADykbmbQW31oCsbkiKV0OMlj806l0aZvQgCg0W
nUy5DxHe28pbpzgPcM14Y3A0sHXBxHEKSneB6WWV2qbTqasrjbt/MxpNHZDDxzhqcUV9a4YjZZGV
cpe7WXqXYiram8uUnCx9vK1r+KtL9ZoTORSnVbbKyupFdDUjJxrQm76jU56OSG+aOPlsGB1QKU5d
rfWJ+MlpO0dgUPKS85WiXDd94koBYFZDrsrRsQyjc1BsPOONi9WhzUwT4jzUJh1GfckZCNkQEkkF
eWTrYUBXiZuoLmD93keO+RqrU71iu6uZeAk/zyq4gPMBlemTgh0cHstZbvYPISYVuedcN4XYJJW4
LoW+pwy9BvG1tpTwk5ZaD61jMrVVD+4YymCo05xD0W87f2F4Ra7OC40YYhjtZJ22xPxBrvLSGgtL
2xBJRAe/qYYLW1Im6jRj1LesmYCOVJ+04BJHYQ6jXM5dAzLYTTeB1r62pCVp9fRZaV/NnjtxsGxf
N0DmeQHCi1xmS6BASfpZUTbqMNuf7HCYtnXdaF4Sggo2naqrLlJdv89LQ7nhwLexhyIk/jdh34LD
YlSUXzATt91cNhgbkEs6OjmWdesTjXY/jtmntlYe1LzRr9TeXE688Gq/yeqnWhP7qNFfpsC5rJf5
ws3cUELTAPDTz19DQifJIcliP8enfGvkznwM8+gmDsMvTBIVb4QsdGhoAiHb6oCFFcyQjC56KDS+
xTG6jeMyISSFrJmhve9FuTBCwJoR4PYFzlLDPoh593huyh7QKxmI9r7CP87h5BbGAJOYmeI9bIhq
4ilvPwdu29NSt/MdT7OzrrNubVjDsBtEN27pOmPc5whBraXC5QfPQyQE0zja6+ZuJDlaSsJPZtpd
twZVtCW2eCjQjSoBOWHMhxdL3KKAvW/EdBOajbV3jf5eHiog4i/Bxa9fux9cqfKl67gGMHELCTJV
5Ic3u5X1leZodX8qnZFW82Xi3Fr81SYi3sT4/Ou1fqwi5AsefQXeaiEJWAgrpBj6u5THtiUTREMc
fyKGIkg/1bMfKZ/+d0vIP+G7JZD+ZdnYZ+Op4sEksA6GyKNR3fx/LOKi/4YoRo0lq67vF2kjkrcT
vDMnvbmty3MMK8qw//USf/1auFTfLfHBw9sxnQmFMY0nw7nJa3/JESSOl4X9lMy/WYku2ncK9P98
Kd+tJP+S764Ylhcztzo+TI0TShSMobWzPqcpyjn1bKFx8+sPJv/wbwLPP5eja4dLVSXaHrXOj8t1
YTItDfAlhMn3optWtnUbRoc5v39f5l9HhKBq/vu26j6vXpv4KfvJWYOf+3rWEBwo8Hqq7n+MDzyH
X88agrAC1cLXS18V7ZPxrbGqc0DRaYJS/POD9GPZKb42VrU/LMKdHBzUnBLohRr/RCmF8uqHewRg
AQ5mU6Oty64kjx0f9gmbwOBiUur5OOlVJXyRIlo+VjbOqzd1WQqTUqtTO97uOkqLZVdaaToWlMsJ
O5hF0zHQmH84RTDuGjFA+8GS/RySx04IUfDUiPQmDdL8RFAwrazF0nzdBMHPQao9gvN6iyqHN26u
gbwu5NG77xF0AmpHe4m4lcmheb4wg4AQkXWU+8z/Z2+yUEMlSdhcVMikeZu452hS0oNrxcW6rcbZ
b0yq2a7GjpflRDXlrkBlgyLswhjms9SMz52yw4wVg8VJFZdpiatrDrW1BUY3NWd/cm1UAx2v4Zoa
DzQPxtB64o1YOz0BPYbykLF7V9ZUnNlRfyssIpiCnNkXM7bKC91ZuWgS63kseNHXpS22dP3eliR5
JEahzVfGIMCfBChsK7g1d8yPCYRoomOIoHbfR8lrFy7aA2Uv2hrUXv5gZfXabjOgMoj6kay6hUui
WCA21qgqZ0Y1qecmrattHGnAl5veOm9s+8rJwuSGWnA/RvOtUpF8WBo0GlWnvLIthABuQGi0oxrg
Y0pOcUvKTNNQRzo3c6qci6iXPbMmMh+GCtZhoOopjblZkM6UKzNl8tI0VoMtnbk59OX4OAtqdsxd
IkCEk/CbXM9xFWSotEhRcmFoMPdVN2u3itZn8Z5+JYD+oXAv42EmNbZcHIaNLhchuHSZOzL3o4M2
CDc915BgiTBfbgxaxtP6393rfSik/XL3Or4WL+Vz/DOhp/zBr9uXpv3hgPokbcVgG3N+yGcxiCuW
/QncRqqBXO/7uRAIdhXsrm6ZWLqk8+Hr9oUr3vzWQfknbRLrL29T1ZT4c3yeaD2pcT70MOysI7xN
C5VLoaBm72JC0YzlFTZWuEpN9Jm9roLlTPxmJioMEUXVXLsILK80W6r2VzY93uswdHOHAeuMg6gV
zefAAVn2bCpOJ4Pdcm5bbDVQLMsVk4tlG7ZUhq3hGlukOGRENSM6ly6mz1wprt8I7R5oj/oc1lnu
1dpU+WVkZ/gbIYYORMCtupL/Vrc5R0M5bx7hpyOzDommWigNzsbCPksSmgyQxYCZ5bTte2Xba8gx
Jw1TJ5uEDD/UkF2TuK7MxzksUUHZ5iZyjeHCKUi7ymXAliub+s08R0QIw1Rq0ol+BuwmfeZ4Ap1w
WWlBA2tLH9dYvNtTgk5jBdU9exgcc74RAhMwes5WSS9ieIlrfFVXCfBGOOsCcgDJgA4pCGNcwTtE
suCAIjU6ZHrOYI4b25ngzLHVnRU88itTj6c9vlp105q1nq6wvhN2MqlkblVwIvlaFPIUILqb5Lmi
OyRAmdF7zcGQQNaSHEYnsbdFC094GtTLsoqinZvi4ggUhkyrdFliX1HWRcA5oOBwnSSI7JtA7k+a
Lc+nk+GsW8dGaJlE0YKDrKiCG1S71ZYgXzxV3NjFvmiGYZu3ZXwWWIpzjI0Rm1lHdFTK8QRuopCJ
UqKPHrKIA2xE2FTYkDo1sinTTnAfUkGEdEA0lepiQ8Nkcp5JA7mTAHOTOVYRgVbRYq5rPewu5xxo
SC5Tr4zGSZGtYNtXBmvfDGRjaSYpWXT6b4A28zURomXIJC23cTwxmT2zinnUXAwU1cgf0Gk98L1m
GDXjOJiVcgbB1hOlnukn872j1xBMRnsPiIGntWlIDhFQMajs6rrnRrskGdvym9okt9Ioy7VSltuS
Dhdn2qXf6lH2mA32ulMnQX2PknqcZC7eEAqcuoGDbjn3ldx9wduARTK/Kvv+LlD0Y1vZxA9oSnWB
0HfeaxbhP6Tx7RRz5A3bmdmtmgTBxnFeO2U6xJl9YOR0Pkelu7GTCAfCvLHQUPCZL525ODfz/JEE
8IMp4vOcqawX92ZwLBwszjkOCb+PwptonkIakdm+IeYzrfmSnMg+q0aJtobLvtJS5ynsUZV1Vnw5
DaUclLrNSumGnLcUmisr27udifahecobB3FUKjwCIS0b53GX+80Cuzat4aO3pR9q6nXVjsTFJCR8
GPQUJgSwOCchaTARm7I7J1MvNaO/o7HjcJO6pXUZAMQ6C5zlrarFtbn0e5vTLCarjYX93FOjCZVm
6iXD8BRZOhGqw6YNsRMlpnNq0+LaKbUXFyQA0mdpB5qvDQXNS15Xx7lefCU1vIrvOE9gbBiiYyI3
MPOFcooH9XmZ59tR3o8iTfZNH53g0l7mNARt4KLBVO7IM/DYSMliM9UrxI9oPmZPW+Z9EcisbBxG
i7KlU7IDk+nlFS3GdvIVU5UGkPjZcqSWvdqRp+mlkb2ZqxIWqkqgsVpuRQfmjRHNScO/FQ/hbgI+
kJfK+TDM/pzFT3UP2CadMOrnb5oB/BbIAhQWL+gyIAGvZdBfo9/hjiSPGRVOPKKPru11S64FygPE
NY1nBEhbOLy1jJgMwlzMcMKR795myaKtUfQAQxnVbW40nosLaCWx5DTHfccFS1fHF+xwPoZer0XN
ajn4kcI22uti3nF6uldFhzLNubGs6t6J2msZrNTnL8VcvdYqh3eir1a2HvtUfj7enHUaGhu8BDS4
oiudoq4c9GstyJmlIulu1JVKXQvPcae4w85pFV+NspsEyUtniruGv9Sm34EStIK9Mhxatfd5FC9a
1/FRw52hgGBBgtWB3HpT0a4BJzC2M7RnPAb3/CoD5Tl5DK0B9SKJqBqj0ZuL8aktWkxHyoFyck/6
HrAJJsgD+KKIUo5wg6BG0TQjQ7fsrdah3umLx64GplLZe4DemyrCmVR2za5w8AFNxG4sprsVyXA/
NurnsiHpVhHbwJiQzPVcO5gxZBfYncndaW8hCl4VZXaoFpD3CmiB2N45U3AZSMO0AZcyEOTgxM6q
6Ok6ZQhMAxUt4kin1IGb4J7rYnqogKvMjdp7mguxubGu2qa9LFrzGrerunJEe9Pj3hoqgAkExa4K
MzvPzBB8Z63iUgyPjdyolvJ+TruD1pioT2X+7YhodfTaUZ7ZSFmqirumms9QSRwUDbkVArzgS8hw
9KZtjclbtO4MmtxqgeWBvo4XT/ICwOAu6XJ7r9GPXLl294DGbqUBEYd9i9JYvFg5wQddfZ820Z62
zSX7LbTOJt2KsT2YC44LgaLSW1TxEJlt5bt6eptjd1zVU7pNdXFKUifZpJxpinLUfVpLu4CU5lFT
wOouJcqpRoJF0VbOmrRxY2QvTlNoQc2eSCieXyqFrAwkbx3z4Yr3H09Am62Swd70fbhpIqXwUHuv
0q73ctj8a6xWu0FxXobB9NsYnsdg+7RiN0XJ/CZvE2JXp8WfGD3PXXhoOvO2NNEDoK2BFwl7M049
VHHKWaHRbiY6UmA1aES5z5TuuCjjQ9tUz73TbMKkdQF3TMfBQOyYq7z+vjuQ/2TO9ePhlgYIFaIu
NMs2dNyyeHE/NEDGpmn6uFAuYWDGCaCV9FqJ0t90Wf7SPnpfxJJgNsB2uvahfYRwWLWghCmXk/Ol
Gbdj/zCVb6G+znGn/frj/Kzg1cW3lT60j8qgnMUSsJLGSM6QqRyM0pZ9aX1K+scYe+uvl/vp1eNp
IrHKQAz+8YNphCI7GGDD06A8dv2hDp+L7PnXS/zsE1EtUyyzjP6XHKPAsifVnavoxNyI4PB+njcZ
opQ83MZ4FrXuNw3Yn3wicG0cWnRuCU1YH04MAyYAbVa7+BSji4l1AhHDbZX+5jPJjskPXTdIk98v
8qGj0gZKR/wXi4DrXHXNuZRR/fqq/e5jyH//ro04dAvZrgUrNNXRkh7j8jaw498sIpvRv/oYH27r
Kp3Tasjb+DQpMBxMz41PcA7Y4B5MePTtpYZG6p9/LAT5AMxMxvKWzlj++4+Vxk4eF8TAn+z6qlZD
/Ll7O3j752vgXLQMyGsw9ZwPly5AqG9hC05OuJw3OcrVovTG7O7Xi/zs0tG9c2m8Quwj+OvHD1Li
7LHjmOFaUz0UBAlwUkwklja4SfqDga5tDK5+vaK8pz5+Wd+v+OHLIrWIoD0xJyd1UnC+fIYg8JvN
QMg/+tsSUpZgMkUgRRBagMXz+mHzaUvwYtEk8lNy3uyZpHr9sfTMjXkVXZseU2afqZH/60/145Lv
2zcb97fr+GHJCCP/1FVDchqslmNyjCeOTaHc/XqVn187g0sihzKW+eHbshYUsV2uJqegdj1NHByn
+821k1f/26X783MY8C4xw7ouKIgPN3bVaqgiWqJObY6+s6NRbT7GCPfCJPnNZ/nZFft+pQ8bHCdi
aCW2lZwEqCbnygxu6uU329vPl4CeI6G9FqkSP97csUihZi9heiqKSzRUEMW0FQis37zqfvYIcbP9
d5UPX33aDBFpY6wSp88ZDhZd2cj8Bih4aXdS0m1m/uY7+svH0nAxo4hRCedDevNRYKy5wPJyu8xO
3bCtm0eS6erl+h/eaB+WoM32/f5WIDDAIFBnJzyFMGxCPGfmby7bX+7l9yWgw9pkFMr0wh+XSKYp
VzJOWqc2e1aWPRkTv1ngL7cyC8AjNnlOaLzBsPxxAbZOexTES5yo8/Le9KJkD8l8Vbiv79fq35mS
4Cv7+5nSgcKj/clAiR/62pGFOIrQzASkL3g63mOxvw6UEPHrsEgtJr4Wjw63+FfnvfWH4fA/m1Yp
zdJ3gunXhqwp05dIZZI4Xptp1D+CbNk/PrcmPV/mVmAB6AhboPiNDxuQCPSOusEmM35R9OYOAzpw
FK+Yc7GOIJCQjZKwG5KVlpJTgMIMFtaYXakKmGbcrTmuPNqpXmerAYYbx2pJaC2bZT3bg46e2mwT
fdO2wRmKTaxdZVYu6VWJxZ5mGPL36HEatQ5hjH4xWyRYGNKXv9gTHuk6+oJoGr22dO/T06Yzqire
hLEfKVjq5Rp4+hHTfySCe3lEig6lmuBwzN7xAIRiQAqQzAA0yziG1zQSJ8sre6Jcj4YyW7uZcKdY
pjyBjBmR7JL8FMgMKC1ZHkOZCtVZeeCJqvDbCYUTcNNdnSi7GGANXeTiiyrTpTKZM4Uf7S4meEo7
Ahk+lpwjJ51UKiTrCFWy4FYQWJUTZu0SYJUsV4I4q5E3vkW8lYEX1T3++yC+j0fkuPXvH0Ty68EE
e9lT8/TXx1H+6NfHEegdqg7AFcwg/jOp/e/jqPFPGtMPRqwwnqSQ8+vzCAAYYq8OH+NPww2vt6/P
o/UHRmpdA4eHQBWAsPNP5ruQ6NmQv9UePJAOA1v6/ZCqTVb7qCa1RSiyrDFLzowN0kQ51CQLaqYv
XjDdmELBJDL1SejbFznWY9rj0UNOojnsOxpk3ZZn7MLu631iKjDhUKMbmAmzxC7P6eKUl0ncfJpV
495x8bQ67TyvHIUoQDLV/4wY6RY0PzJqvUzsqynUQfA2i2y7E1tB6oJjjuoGptDFEsUDIczGAN4M
/FBqOmAd1I4wJHpJS0I2lQjBCnCTLwHMAxcQ7K4nL3OtBAZ5ZAw5ZsBDAOBacx1Jdu8wqHdIhCC7
zhs2hXbduUbqWSQFroDzPhMsFuEg5ffWLl1sROjlikQl+dQmz27sOps5oJPU57QLsjnaA0kI9lnF
g0xNShCjom4xumYH01TGcyLQyKof2OiMJrmL6xyDZ9YJrwmTyxLtO/5ySFkLxmOrv23iGqdAWt+B
Wb6kF0zwt06E1RTXvl4H/YoeVL8uFCQ1o6HSlmOMs0rr/sisiJPeXGY+vXBJejuDBw/odrh2kcuv
Aryh9KXEztZrXElp/DII/RgWy8Wi0QtGdakjQG/us46U+b7sV2lcnfeRk9Ch0VwvpLJSlqnzSub1
q7ZMdBSkib7ONGufdNZVGtAn1NETrbUl3NSowvxRKZ9rjaG0prYXmo7ksla2pZqf53l8KbL+oOsL
XR2jPdQD90zQt6c6thgSkZdCH33uNwYkqLbAV5zAV6n1o21Gqd+5peLV+AV3qSjWaaXA/1FO6VS2
xyVltzThonq9Y11rlnZ0q0wmPw0TifXMUzTynFZ6uSCENdAJJ6kKYn4M6KS3t5MLmR+N5TE0gse5
pvucKQ4DPd1am536yajrx0SnsSwIPpjrzlo7cXiFm+VcTPl6CaeLunVfGo7bNHZarmFr7cOayNjF
Ms+7vr2MS/R2V2VpZ8vrPGX0yqFbuGn1Cb9QTS+ebm68GMeiT6uzpHMfylS9JvLuxalmryFEpFpC
P8Q2U7XjmdspfqNqhzKLLuKyPJuS9oIG6mkoCHmq26jHn9CPeysw3xZL6Wmwj7qxjfvAHjBxDMuN
Zi3HsG6gr6KM9sPYhNutW6wLIzBrtqO9tBtawJhy9FNjPrRYbCjn3LvCJasuoaen4elnUoN2gLTc
ajn1i7YLBgDCs9lfsdmhgyZWjGEVyaEczII6OOkEu9HkIZHZ6Q5lH1/bwvaCObxZqgn9RYOPJJqY
x2gNwcsG+MitGwqd6SzCCj21tlkYh7s6w4evaZFDixrHj9Jz55BrmKwK9PfEAecnmLv3tlG8lY36
kjsa2TBl9mkpwnOEudKpgt/XlIwrtQlsBhzVF6dXcN2m0ZF8GLYJVT3lgO4w3tXikjriVeddvlGX
8bVvFean1nSN3a3a68XwKMrcrw2YZrF9dLLad6VumVksygajNfCbhJ+Lye3XSGL8ypm3QCrWatWc
3Dg7qFbiL22F87cOLhK7i9cQkXeww90zxqJ3Th+sWXnwdNe4FaqpbWG14B6qRbWppmTa1Ip2nHgM
TnbpXptzu5syI/aKbECWQTqMJkfHSBg1Rhndms8ar7qUnEaX+MioRvbezSi+iMDYCId2pPscV/Z1
2+nXKdeE9wCsm7BAJZ85J/KeGUPg5g8GqQ8OwHEOyxh745Bso7omzivJgFV0ykvMr3OctF6bsrNu
hiTLooa3+ng4GIooNnyh887UpuupoOubA6ABUCPWJM/tCMpxeGybcD9h3Q6Uderohwi3p8TWPKrt
AjcsJ3lnMpCwMEdQovpGi4OttcxIqyOr30yxgH8Xts+pFiHwbJlwm3B9hrpGOUN+mqZVjACmc7RF
iafo9bZHWW+m1cVY0kmqxIh3YLpW53JDmTX7JtFlZY0xgfDj22iZe3/stdfU5Ujbop6BG5Rslgwn
w7/11Hs9JTgK/n09dXx6ef1ZKSV/6mspxckGQYlM1NDQc3CC+SaV42SDTI0gBZSMGj5g/ulbKcUA
ysV0qMtj77tC5VspZVNjoV1B2kYcLCiyf6A3MSx5Pv+xlOLIi19GR86HNk/+Ed+f3xWVJg4PTsgo
N/dtSd7oWlRVGTAOvcs+V8A5qqlz1wu4DltyO4o8PGZlv1MBehiS7DG6nJh5i3q8JQ4TCrnV4ia4
QgZ1LQCDFJIQ0klWiAM0RJX0EIxw7sZAaCH6CmCv0190PVHUYngAewmZMMUXAoskDqNHy83WyjCG
nxronLsCcEmYj4FnByaM8k6Ufg/epJSck1BoDzx1xbqWDBRYDO0a2CKzwy54G8b2Vc9M6AOSneKU
FB05OJUyjSjfiqcFzIoi6ceuFQ64WeNlkwJjMSWVpbcirgBzRB6g8osDuiUC4ZJzYOVtwUfsJd+l
rcRJAfiSMJIrAcAkkgSTNMRmY1M9mQktzEKfyKHMOlCR3eRlTHa3QEcH+prjMyiT1stEH6/SCCfx
Epmc0dTklmnyifMZNYqKULDVwYfjablpgdjkubiCvt9A/gcMpQC6iQDeRN10qMpIhaWOT9wAihOK
SsoU4ORwloIe35ugLbB+r2HDLXdQ1NjESpPMjM4mlktydxiZJL6bTi+KZPKEQ0RdU6jhupXEHn10
lE0FxMeqgfkYTuXPfRBczZL0E+F28RFmQP/JcubNkghUSDZQaVFCSTdEbPsl8KBZrWCIhOTGZ1Uk
k9Zo81fAhuD61nt815I/FEAxqrGASDZRFubPHfk0Hh5gsi8kwSiTLCOYjo9g8vcWdspjnFagLyT5
CNybn0gWkgoUKQ4ElbvkJGlafZ0GaCBtbZjWiaQpOT1nelUSlhqNTIqwX577RqVIbHt31UsiUyLZ
TL2kNMWS17TMzhETJuy0yXrFPUGZ5oqLYuTdr3fcyqaRTOtwiOEHhTPaFsW6wVr+OEhOVJwTOY9m
J9t17cRcPhxvFMmVCgBMUccWmI5pD6Rh4axVyaGqAVIFkkxVG5mxAw794CbaF3Q3W1tSrLSpPSrE
lXCdHZwkoK4WkFeziwrHHm1KvqJ1rSviLDrjTCx0WCBlSST+JOH4+gjwK/o8oRPzEZGUYD17FWLL
5M86aH17zB9GCdtHOCZwTwPgr835E9NXGIASzj/FCmIpKDClBPenEPwZqzElhOlPcAJKWon5FwyR
D5juCFCWIQDQQW4XUgEaixJdxgT0ZfEWkxug6dG+0JzD4CANJVdgIV9AI2cgUqKjKoMHSCRGipX1
EN0a41otrQFjMUEFNYkFjg7bDr3vHtsTYQYpf7gb7lpSDvCPv1mkHrQy/qCE3FcG+XxWKvOThnxo
VQtIY/UEWTeeB+ssXjqCD8IJgiFlTfeZvIyhBPQKzROvWFPe6GPffiqnaXyYAg1eiaW2Q7PTY8d8
DNPSPOvaKgtPGfl9zr6rFeMxCC0tOCbMkLe5m3br3g0+i8iwNuakcWsE+HsD7pedUUJTGZMFdBz3
3casJghOjfrQG/1uQUUskcS7yFoChKtQfceYkD+3DK6cZbmcCui9SOxlPmJ+yqwwvetRZ2/yKmZ7
StFx9WHyFjb2VcPBdKeMpj/HbbXDiJh5NrWT7nYv+Tx8qk2kSTzFWydoPi1uj65ZJcPZiA99Opte
ValPYmIfLwtgh7SlxCgyr+uCVta2JIS1weWcqpo3dxguFST6q4JTRrovJOKn1YsnuxxAVGhMxG04
QHGafNHgApXJ9GWCE1TUs8xpNhFbgBAKJUzIhiqkTqB6y3We7hwzA0PJYSDeKoNzSX5l7A+QiSwI
RVgb9oFEFtmwiwRhptj5wBllEmxk5+NNLlFHkYQeNRJ/VEgQEiC5fAUxYtNJSNIMLUkfVOHlI8HT
GiSlODHdddbY50FVn0oJW4J6wLALO08daRdGBJDJDMGQNQ0mQVhNqVWeSthNoKcLr1Stz4kzPCcS
74Ry6jBK4NMwdWgxls8mJCioMpezRENpMKIqCYvqk8qPXakQcUDigZOCOQXEQykF53VxXuix7pmg
MIqZItS0b8h/Ac8Am8oa3MYfJa5K54iSSIBVLlFWxTz5aJnPDAm56mOO/DHcK7yz7M9wcNMBTKAS
3yClQq2E0KPm/wMWPwDQSnW+ahUKfiPZWjaQrVyEr4nr7kzgW6XCvwbguMhuf6nAc+VatP23nvyz
nqR9/ff15PlTykThlSF3N+9f/uf//Mcczs98rSZRLoOJEeRROOQ+vGNr/tuY04HdMP+HC6uruBQo
9L5Wky6IWiFDuyDauOSu8Qu/VpPOHxZuaeYqIHKoKv9ZNUlx+rGalBUunT6HiRPoE8l5/76axHIg
dLUuzMt0yMIDm1Id3ExTWtQ7Em3T7WjQsJltI/RAOq9DTl57o8ESa/aKuUN4We7zWcM6NKoYGJLM
UX1JP1hB6sHZzFPgmFicR9pz8j15phAhd7SXoF5NmepbecghC/2SuzivZjJgyZvB20KEWchQiELy
S8dDAlhZeScsa7CWO6DLFAPWYyY5zK0kMo8QzjK2ygUr5wiyuZbsZlVSnFsN32kB2LlbxIXbuq/Q
bkG1O5dL7ewZwt4ATN0qgKEVSYhGunuoQUY3kh0NCp0WVeg5QKVzzbwLYyjT+FailSHJ0wIENXXp
XneqTaIGD4AZn3rJqp4H1Gqp5FeDwIUKDdJal2zrpqnoAoC7rmVPIG00MieyixoYmRQ/HmsQ2Q2o
7G4p3jouNDTG0lvKkT5HUJ2xOdheTui0CXCb+gCdOARul2bDJoVmZlfQuXV7PlvAdTtNdDVLfnfU
JfteEr1ryfZ2aZuVkvZdSe631CZrY/1AqNI2LQEUmnqz+KR4LxSU0XMr+eEk/Jpr4pe2FmjxTDLG
6XJcEGKrrUfJH4/JBauCyNjozVsvCeWWZJXTY8LHYtK1ssUbUl1UoK57WUvC+SJZ54Nd3zoN9HMF
DHoKDj0L2507AN8xhtJLOojpZlikq0lS1IkwO3PAqtuSr55I0jouzgcD9DrU4MdJXa5qdvehEQ8j
cbzovqI3Sj2grWPqbqo2IQh33qWS7N4YkvEO7H2S1HeFLGUvqkI/AQg/RwzDdRDxNqj4me45nJYG
9qQWW+0XAu6188k0kXHnMs2iA2GAjl5mXPD5IejOMvgiMGMkpwNpLvaqe5d480rjm3oXfhMpRRi4
vOILwRtwU7o1AJrYd99144GUkDPmiXYzqvKFh+FqlkLzVHEIPJfic0ZJZ7qe6B7AwZUuBeqLlKon
IaFxqJbKjc7dtmreNe2pmAnnkEJ3XNpI3muE5I6UwdtSEA/4kWzrCDauOgz+CB3SUcNLgJ6YTNHT
6z3dPxuFPfk0nB2y5KK2CLbTxOdRivEboaQPhaAhq9V5e9IxwAgp3nc6bsjG0lMYe+TaGVgMSLHT
wRogNWEowH2jgf+3pSlAjP1wAYh2M0nDADnXxxQHQSqtBL00FfQZxmstbr80+A0EbOTVgAOhsGjZ
IXk7Uzhbn5GB56zLd8MCIIRHTZoYIFOP1E0YGww5yCqk2SGmqe4rFQaIpVvU5xpPRJLnAb0z/ttR
GiaKhX5gmmbmtsylsUJJ1O1Aqg7vaPn9Bla+WozgULvRNhvHi5gnyhuX/ixxm6to5FOriumLsDzg
2tjGOfkRpYtyNlmaow7VxpsiznA6set6R6lYtfSUk2j28yK/iszYWL8HWgEYPjhhT7Z3pW5jM31Q
h2bbK+3Nkg4D6VRkEkaU74VIj23fEPTDKIBUhGYbVNXO6lsUfkFEsGzZryuFikvgC9eOzpTfIpDM
zt1oOBVcUTxXsbvJS/pTISWpmXSfGU36o1FBHnNep1Kj4VrmZ11KqHQopi1Zxjf/VgjvFYLKrOvv
K4T/m1Vx8ZMaQf7U1xqBjhPiRp3kTs1+Z9v90HGiCmBmJsV8Pw7viGHh3cHwTsdSy+hc+75GQP8p
m0SujpVSWjr/QcdJvKspfuw4YYuTmS9sb2wFFit9XyNwGhmTRHeyS0XUD2HMCWyBqSVmc5+JvFgl
ZDu2Tb+xzZythdQ6PTx35/pidAiiC8ac4TnDKJmt6TU2cZGhqfpMrW5GGSTpECnnDeF8rmI/pHiG
3yC6T7FD2lJGBmUkwygHhZCJtH2iKQ6+SBgvAbe0Vyl56IXmdJj+H3tnshy3lW7rVzlx53Cg3QBu
xBncBLLPZDLZSpwgKJFC3/d4+vttuaSSVLZP+Iw9qbJDpjJJIvf+m7W+RaYlMS2154BU91XDWIt5
sFaajMBUsfYTiGFNDBnovGwZlWki4Pc6GZ9ZkKOpz+i1MT8de9wpMOC6D4Zc3LUIlukKDsiPpOuS
izQciOjMOXatSAq7bfcWpMXzIOM8ExnsibBgXGUy7DORsZ9LyPlF+0IXGOzx22xmGRFag/0CbDI9
LVF47uziCJb9GPE90TNTJOW6fjfGKaSNMF+nZJAGmv4QzFm3GaArrijkmMzJyFKmfHhwmIPkxhx7
gVM9OxZQBEGjzGDOGuo4vMfyUL2o9fg0L+Z47JyWGGrI3pmG/SVBXEQm6z4uaHYrDClmb3EPjHO5
6o1AB6rmnKNQfzLqlh1FDA0HLeM6TfvF1y1Wb4uLTj5sXFlA9XeGEr1ZWVBuxxT5d5+mx1K8dtNr
BfPTrMRrOxvllhZ5C9EOpTcyifLJ1aLiHp5alb7H4fI2TtHdwtRsbQPeJjmxiRznlcirm4Dne4+S
Qd1BEmB/3ATuxUQ5fpjdgOqiXxejLXZdQ9WpRrR9kenON0aysImIy3xEomU/Q8Dy7RjUhjGV7/Uy
EGZWhi6YcQGv8Xdp0j+SIZle8efnHEqF/zq/du9/kGEsv/DbUUc7hEwBUQ7KZ2nq5Y++t0P6b1A6
GbrbLgp2WqV/t0P2bwy6ORtpVdDSy57neztkY163aZUs7X+RYfyzbg2VAoN7Uvl0IEYcxboqR+8/
KJrbfuzrXMzjRS1vGxw0c2L7P/xQbn8/NH9EXvFOfxjeSw0mmm/BK/Edosg1f2m3sJOnRm/3/aU1
k0NsPynqxbWurbnTgttxuGm19V+/3ldN1V++onxHP3xP+uQ08cIe/JJUPTNADjhJfC/xS5dh2V7H
pnQOQ2dVNyIFA96KjUiAZtbBFFhrCPmk5LEOfmHZqO+Z3UDJlKtNrQWvbTjRyWLrWcj1Z8UedFDS
Ly57USnMK+Wi1C5B4mCRZ3kq16iGXKg2crWayyWryba1lWtXFGHGJqzichvMU+HFcj1ry0VtAYBx
xWF/r4yErLLLdYbh6Mrlrh0PJ4VtL9oGpiecf6uaTbA5c4KL8RqgfgKGY+zKUrslSmylO2JfEPxM
JR4eS7bLvaE8NnLdPBQvA9vniS30INfRGidkzH7arJwDcJ1pFYlypJBkic3c91z29nJvd6pLv8E2
tLgv60jsRE26kkbPXLN76K4LECxCkPJmKi9ZaJ46VbNvAKJaO5hQi5/3Rv0JwMFJCCiIZn6q7Hg/
peO5cYMbRU1v5kU8a5kLy1JRXGY/bKfxt5HW9pbB81yPlnmeKhPSl+EPaXXqAqrfft4Te3yrLjUo
qdqPp/k0ztOJVWfpd0uuclOOx3ZQnzG6rUmLlATT5dHKuFGZsmKw7YvbIu22vTPepEtKulUKzrui
IE87OqR6QgnTDqmK8TNbk/PwWHczenJFDTd6XvX7vh875AA6CNy4nk8Zebeb1tFJWXtzlfFiRs4d
BSyTvgiDbhQ1G63KD0EW35LbeD8OBRYwfi3E364dIgnsvHuDaUDLIJKrHo5rt8979vaa7+rCB1dw
BZdCeAl7bTGa27EZNqoZ+J1wVrmmMuQu75HK3OZBzbZrAtvYZelwN83RnQi0fTP2vlM5H8y08Cbb
ah4qqfxjSPGl4H7NA5etSbFaliCDRGACXhje1ZFxRC980sLIOLDdPRkGzO9AzZEmzMA3vEU5dDYt
9HRWvp1Ua81iy+un4AgCZ9dIOPjSUacrN2izfX1UCK0U9Hphx24NZ6xhBpvaNZ5MppM6nxD4rsUo
3WN0sOSd75uM1X4c9ninlUPaLg9txXSTwuAmZtSdsNYC4c5jHdAl944u8fmvie2cyzpLyKQZiUZp
SRsN2jH3rACE+Ndj5p9LT7qN/vzSu3mtXv9z/Ce/5sf7ThCkiKhbRsjKhMUf7jtqJk4eJm/SBsTB
/G385/wGXlo3HEKqYIf8UtpTg7v8CaQUlTHg39LlMWb86T6SN540Apga1nk+OeBXfr4dmrrNTWvQ
l0tVgQTR9I54UkQqq8qaH7Wk5sxzPpukv/hB1X9S++AlljW4OpnH1goymQTx6A61D43xbC3Y8ixM
ymhPO/K/SVBgrTYHzq2ahRoKOg6eGgMsEWrn0bBOZV5undDdEQx0IeEViKxAW9qEklMrxnthlT0R
Gdq7IoojUllUZ4MZnm1BMpNSgbxzams963InhAouN+K9ao22V+nOExOx21bPLhYZQmxmCgIEjSFj
4j9vg4kh/Gy5V+RF9yEfC9AyhLBbsATCrFT9uTPfxzJMzsvSV4gzeR0ia7aL0oQe4bGeIrRdrqTq
Jpy0xueaidadG6sdMpbq0KsAlfWKs6Onn/LTqPbizNq4dfaJADlfSpJX1dBuGXbgTeRu3E6Ifja2
GsmZ1a6RgeBczx7SKr8xM22vz+XRUAkb0lhuB2h2iOWDJBOkrJXTkgztUdzXWiw2s9N0nsLqBSpL
Y16cjOtuZEFYLtwiVssBgjqTG96ATlB0XtsFL23oPCQKPtqYe9Kcg3dMCVAYsZfC+8n91kpYrJSM
DAmJ2JVR0K4g2agPs+PiDp6sfV6wsDXD6k7Tsh10A9uLiEYiBaWtPVDlAar/gXRONUXal7ibuGBV
hrxyprSANWuF6edGK5gI1jJgUln0O7fWSKe00nVksUxB5hD5Sqepm+HrbJm4oxwMQlDshRw9h446
eiOIzn3FXHqSA+pBjqqFbifbrrSyete0YRncO+y/D6Bx3kJ6y7UTpO5hqRDuaFmzb+rwoVUFYfWd
vjOVilzNToBx7q31ADzSGYqS1JXm3Lb5l3JCxmMu41Gdhg9Vy6hPLISc6agcY+b73hBUH4bWUeEG
Lae+mJAfcnU0TsKG1EGiAP29G61zsTh8JJQniJaqZ47LLtEZlonQvNhtyOUL0iBOuGlN6I5u2m4T
Wz9lZCsSa9gRdBBcBjV9REKI7cEK9qFeW9uBzRjVRx2vm6RsN3FUvLpqSveGsDwLydZ03XORubvO
YsQ62singviRrWrthUoIBFhX34y4ehpSx1dCQOcNJJbXobHWSJI+MtADJdA5dE4kQGmzSK/QG1+w
Qx1bzX6jYjrO1I6LRkg9ukIkm9ZlIibkXDQ5Y3lizipbHI2pYQSeqCtFj+6GUJWyz5nZ3UOqrM3Z
OVYxA9EhaVekzTXMQ5WHeLA1lGQZ1YSteHrZfKyU7i4RfeAVynIbWYA2BAR4Y0RZQY6poojdIqko
XZCAR2hw9DbpvMoi98xMEzxCeqH/83qT37qO33mwGeem+fLiCqCdHdGtAjYrJHDUCknodUN96sdl
71bxJ9SF6irQiJTLR3dVxcl9l1mf3AZfez+BMy9q+wm0dOFpecCHuIzYFETdOq85C5nSZ9O2LRAr
/O4h/efG1RCh//mNeyrb//p/Rfievbf/efHKL/128Wr2b4Iei8+8ji/hp2hIUiMxD+InxueEsF3j
Tv528ZpghuTozMHmwXD6x0aTqGQcWUK1LFAsmBDF35mpyWv1x4kaYRU0svS4aMbYNKm/XLuJYzOG
Ltzkps/XCxz2INqa9fMPP5g/aDVhNv7Bq1AmWGhFTMzGFj+eH1u/OmBdZy1WctOVSZz5paMWbMQb
dC6BoafrxMCxX7LzONmhQ7FaRYmXLcFxYC11p1bRNYudrW5F8WlUVXZqXEKeRrjvKtNi1VPDaD/q
+b4fkLQO7q7qtRPy1Ws76+d6KY8TXJe4CQ9qwucwZ6AF/752EayRJhD0UNtj3X3TJoi0aED4wy4F
45H1X+i5GuTYgkz4hnBxl4CEeTXZNEIz6ZLiMCpLvg3GCSCMgj4ncfVoNfVLSQYPQyKv0c2nwHDt
rZ1ZxoueE26poObbxmoaiXXU11WGprdOn2kNgXzKkeEudAlT22sGCTlsHJwbMbczI3Dy4Ag0ciIS
C4zKcJ4WvRbgnfVs2yjIrbdaOQJE9SoNF1zt9VbezQGlEQ4Fp9aVM39/hZoMIbKkxJZSqsEU3ucI
a8io0xlL2k68MzIzPfRTLZxbXq81Xqw5JHuAmx8dBSzmu9JurOk20pDL1uHsHt1G2AdIwuFHoH7m
82BHIRlQ83JvdgWCG6dkreYhieZucaKBbZ86tu5jWSI6FoUJgaEn5VCvJpghhFZ4dRjO+0G3hhu3
7wmV5md+IhutfW1ZwE4z6TnzBB/JreO9AtJ3bWskjaL3GO+WgV2ISjfolpp7F87gJlhwxL4zu9Qz
FS3nlJr+UGq+XcfPTm7RsS/54IsatR7ia50FLe3llE3xQSx9tLZZJW27LtO8wsVO0UYDUpS5brfC
GHajWQAwnugvQ5Y/YKfyM5m756Fpiw3KwKtZWnsn6hM/ENmuZKzph4Z627rjfafZw2M4TM4XWNrs
jFNfjJP4Usa9b+UEfAe19qAq/Qat1EbRy3TtKkjcHDY5k0Oqhaje2rZ7L+LmfU7mJ+xSfmMMB3fK
NxwgMASXrTmp59kZfLQ5O5zLpwVUdNgMn1SrZ7WrbLJRY03KuLGfPxc0tWH5OVB7zR9FZmwnO+RN
WMNHS8SfskWYa9Gm7YGtHjimcTnpuc74WD+LqofglX6s+PUhoGbX49jrYBCbUHd2vbqgcmrXYc7s
tlbrFUnheFXaQsUxoyW+NrMksu1bvsc7q4ceOMVLyA43IO9tUOMzKicSrgL92mVFex7r7hjqEw8z
4Y1ZPTEDCNDxOfl8dPkQqcxndbfxJxImncrANFI+E7+NW8a+7/XwWtTVyebfB9095f1wjVw2yHq1
1gPUbGE4kRmSamCwQAb0DVVs2Kg3qZK+wDp6qZCRxS3z48w5JL12xUqC+QOQd5ad0V55dVbPx8W2
dxXBOsCV5s91au961/JxnsdMCKbVvIwHp4QaVC9FcSCsFL1UYJOhghh8DokmtyYj3dZutQ1a6MzL
rNSbvz55/wBnCadCxZZK80ADx///fPJGs4Z2kACPm7JO9fWQuTPc5DlFBDpkpy43GEcPJDeWUQ7e
c3nXqrq91nWqPjiLkzEFme76JjmpU+Cnrv2sTh2hL+JLwfQK3SWQ8DAhvZSt+6ZcJP0oICkksFpv
hNKzMutB922n2xGv9onI2d6Lk/ZJR3K3xolkeJTkMifCG2uvnfZaxZynCwooOs1WN4fbTCf9Pbff
5iy/h1l/6FHwLm12YG50sqvy5LS6Syk7k6Y1xzt9gsnQDqAYAmK5IloatjtgkdT2zpx7zasicVAj
l8+1Earw62FCJc30mMSDiXYXWYA+6xczhshTCwFUM07PQ7XcRG2yZ+6xtYDZ+HFWIxdLEXgyylzl
TrhRSAS2wuqEznRY2YV+ibPxyIIEg7YOxr4iNbWcW8RqzSVNsjvIxHLQN2S+IP3IM2Q91zS3sdEO
fr4gJKE2fTRnE6blFFM8AwIbeJgmHlAHYUSa1jLlcsvEiuQR7WOSz35uCE+45m7kHDLa8q107ZNa
qwP9l/IWaOQXVXqNJQF+W5rl2l6p5FnWnWJbfNBVsodUlGHk8H2cc13zknZO14RLXYzF0vyCCM+V
WSXOjiFT/1QaxnjEodkg4h7z/V8/qr9OvClEBNwTPNTY/RxStH5+UFlWj1Mz5ARO0qAayQHR9u/7
kM/T/w3fUchlwP2Kv5h4w4e1mc2jjbFQSDvOr3hEQ0BvddwwvMkEEDRxQRG4i6u7ZmQy3GReLPCz
JOu//q6Y//9U+vCN/PKq8vv+YerdV2lXmYainNW5uAc8S9PPP3ArfghNag9IFYnXOdazCIz90BOu
jdaP2r8YZVpnXHpFs3woFfvEKFj1sNtsMnfUPjmRafswGh4FvYAfpvPRzsyPIking5YZoudpKsp1
v9jF2qmU2teqwfHsYp73/WQbn8oiIZaLCKN1HMefM57Vda2KyOcEnhHVAzUbeve+N7MFAQjC0HDQ
9ywcb6O5e0tsd8el9NA2zUa0IyAKZo0GfhkESFQo2VgU23npVY8FBtqCEQKcHU93elSAg40HELIh
kwAXbH07fKlb4HptFe8bU9khF3qYFoj6anqwupLBdkqxFgdGhiAnJtyzt/bpkhxRDPnFHOi+kaEY
N4KUU1Z9HqQ0N07ysxNN26IZ1yxEeYLVddqFOS6Dyi8T0JbVkjh+kwXnCv9NaNk7rWRr7ITTfSRI
/Zxo+fqO8QipXqq32N2W6DHmUX35KsL63Kj5ta5yGMDwoVrtAMkLvohl7GxEJ36laY/FHO2mAIn5
0PQ3TK1NmZWzbxrzHfBWT14OIRqWuQ0r82SP2e9mmj99xL+6V/9dzv/n0yYL8R+ettGkxNAXnrbk
VNyGN8qmPtZP43bZWztxcrh6vM/6uEK8ci5exuNfP+s4cX/sJb69OANBFvO65Ev9/OJaFTlF6pjK
ufLJpjrpXrXBPKQdlWd7o67Vx4vinZ6HNd318Mr/ZDfs2leHeBPcGCC4/od383Nj8/ubMbDPWLCN
aKMs+bn84ScxqyPaJy2JbiL1tjKyVaw+N8Pvw+Y//XH/fGb952v8sqVbmrxXoghPYlm/h83Ona9/
/RP9w+8B3guYAvOr9/nn7yGfxII4CyJfqdzWXxc91Jy/n1D/tO8mj9+ft+/3IGbfm//s3OVXfevc
sbJLyQoOLCDcv/Mjvo/MNTp3Zr1oZTXpSec3/61zd2FOMEN3BDcNXTrt+fcVMaxfw2RxrAobhLCc
pv8NNYzu/Hy1fB2ZmzCbLN1kAE8PLx+fHx7xQS907ALufEFX225UJSvWLWa/dJUaTlAfHRWnyqoe
LIUM1qCo0Mb292pOLeOkbIEatCNxpFqnqZiIpE1IT+5JQzdBWXjZbLQbXeuY1JYIBqehrq662eAE
ImbmmM+hRfJY+cFd2EGBvfxcYAplobZc87jEozWWOK+qgWCQ0L5QRyJ+LRnBhhVUv7gcWaY5qFd6
7AioYvVraijZfsjZheWselUQ2zsSUiZIuXhcCBssABKLwvLiKr1Dz/g+pvV9OcSnKh8bv1GFsk8m
ZTqEkC3R2LnVRe3FC645Brn8LQGKNRQAo2/qvd9KI2YwumcVW2Vt6NkK7clVTZenvK8e3aQ+kpL5
whJum1Q5b3YhzadwkhNXNdYKxqZL5bwtJMaQ5wT91NGHI2qaEhAFRazSM2eLSPN19eBzGhntynLK
TVC2a1upz8AEPiRxXkPHrAIvjvKG/en8aYn1Gw0N53p0qrs4CjNPxXYN49QAaLxV+gKsXcTrBerI
3ckO1dEahCvlVmdgr7rjVlcJotHcjdYs74vjxGvLHhAs03vb9PWrtkVxW/RthcU44eJyxmrnhohL
QeQ+V3127mE/+zX9+DDpFqX0e2CLNd5RNglB+Eqx8qW3w9K3U6vwO3MpN5raZbh/9dugmcXKFsj4
sOJfo2Z5dWoSRzVwv16Ugd8jroSLQJS09d1TkpTXXs3pFkQF8DjDDVxviOduuJuLba+J6zSGz11B
YkmXt8ewgY86KDlgZ8Hj6rDlIbA0BGAwL+rOzop4XeYtaqUQvWNcu2iAk1vmNzVLC3EMRqfBtd5O
fmfFr0iV5SS1fLUno6HXwHbSKsGyC7rSREScpvjSTAp6fIIrVVsqfzJDE0F4eG8HNs8UrmIq4Pzc
BVh1qdEYBU2LsoprG3+daR4zZbxCW/lY2EawKqbcWVvEHedC33Ez0X6GLnabtiWmXbdwHGl7VTKI
RUUPYsGhRa4+XcpJ2TcQRVfzmH7uk/45yY1P1TzeJmaPwjXM3zmkbho9JN98dG6G0VLXieOgSmiL
AZUbStjKeEuwRlJPRUxz5k9j4t4Qan3PeCLxyMb5mNWdirzUCjf4uRKMZg15pAFZQGXNbht5MBFo
78ky1DtywbdLzxaLFbBgCQAe0w1xPUYhGmXE92sWX8/UqM9ag71RDKjG1eQFgSylUleiCisD9HPk
GZEl8pQ0ylELhwN8WcqAyVqLqDoEZAB4cBe8wdLowV3lY1fPWzspT2WTZ6vRBncahfaHbtEhcYaG
uxsqVllt7hIky/h/BX7AvOhp6Sh+DTT07ett8M+1KBuUP78Wz69NXJXtH+2S+bpvFyMyUQMxqM0d
BnpJyNye7xcjyCV0Lw4Db/huNlfSt3vR/g0GkgYYBlyW/nVs/f1eRDrlGKCbGA2bpi3dzH/jXuS2
5d77dxHMvUhlRt+FcRpWAG/jl9KPxy3V7UWPLrmKbvocsZp9mTQ1ckgIL4rwtsTMdlj6WryIyByp
25QCs8A4QWIFa90+uZFZ3rtubC3AcPuRkO/C7p5bo9ew+OET5vllS2vGytOkE5k0hYvpZTrSI30S
t47DYRZql34gXCabX8dwedWjwFzRA4nWIYhXqFs9Awmiz8iytVSsp4FcP6U50IDAhWg5PZnZtV6o
zq9p3XDqoxJnkRvKKHS20zM3qucKR4aYsxQtOOSt3t2bYQOnYCTkLBd3UJ/v8lhofmowQAmmmwXS
gO8O2mtd1PeVob9AOjFWJez5TVEk/QoG/rJF8JJ7jHsZopgWOy77NDjtBz0nFkQU2Yn4smMfpf2q
DnTHN1sWY2YTohUdK0RRS3pHmfBYm0t1NhoWwOheNHZ4LG4bwv9WoyntARlOjM5g5jsVYXYqCCZe
7OqDIdjptZpa+b3avC8IRBDjSwVO2++yNtlCkd9pGCEr207wGrqeaQJzwOe+wWXGZYPAhDeljV4I
r38XF/yTOUxoY93yqYjSNxxvV8ckYq/KPmtp9CBKloldl5ingOUlNoZrXOHhHiw78rASBauQzJBQ
YqbKzLyLhHgwGxJCaBffRFkcF6bh1ewwjVQdxp+FDcJ6KBPuoulYELvQcVevzLLYZrHCkNHsF6/T
BqwFxVMiWoY/cOg2mCLXouruC0uMnjJyXkaqszFre7jppd/anlunwzCy71KRPzG1nvwm7a/LgLsA
oMdNAX9cKg6wjs/9I6rTTwGXwk5EHOqWqW7sxnlG9PHBJtBbb7TXDKnbapJvQx3ulNnZ1MFyydIY
262+cYNbHtaSQJj+lLnp7TILBBZYfAsi0DYNMJ6ViRN1r1bzsRM8dpqVnEqdakQigyLFeVZszO6d
BSZDS6bAUxoZkZfeWFV+MdzmSPLmLVtpYMjSYxPa5gYixYtJUkFk6Y95lxEWWwKoH8RljkcEd6I/
Ki6TyaHGxRm0D5hRPgllOjeif4cf/tB29h6y4ykZUu7TyEZInbkEEZf8HoIkf0NczEdsCSGsTRme
hEJc+Obh3Y/Rh7rBFKap+UUPtFu6cQRP6SdFCTyndNWVHWFdyI38VgZh4Z6MjojAiudI0IFlM6gR
RS2yo5L1lWcR0r0KsNR5wG1exyAgcXvOrlobfEAgNyPLYgpIFsXOdZZTVnTnXoMp35NcLvJXJCWQ
1HnRUb8m5JtngbuPqu7SZurWNMydUZHHQ47ouWegRQi3U2zmtKCMTeXwD4uXFR3cvjOOsdYU15bw
xfYwDZqcOxeIx3Rj8V23ZhGQOM99DtskLHMNdy5D2E2dqR35Drz7sCDnoJpM/XaazQPtpnYT8cHy
+J1bl8Img8saGn45nT09L3UR3jXILI6JmVjbjh/BesyUbKdhoVlV7J+A45BOTjSH6KJdpxAJTao0
Lz1XqrZRElBK/1zTX70cJm3jn1/T92X2+kdJNfKrvl3SdK+4LjRgrbg5MG/Son6/pHWZ9wsdBOTa
vxAh325p5zf5n5KWx9bZYIXG1Y5lp4v++/8Yzm+qwQaRNYKpo9Uy/17QlsPf9PMtjeBLEhgBmNBb
k2b3c/dqOnnSmL0+X5wubG7BkuV3sVbZHzhx9QNFMBNpDQ++0w3qGf5QAINniPAvD8uT7Y7dfaSW
2XZZtPgo8LTTYnW4k+I6WjNnu8mk3mIwtOBkWbikMFLw9VACTL9HBcPiqJp2iuMeJn2BjtFFfEoq
I/0cQ03Ykq4XSHcjt1XVTi95FIUHxLXsM5j2+zrxjqvWcUj4a+YnV69pdYzXOcjtQ09Q2aajujgW
KdEdDVtZiIqYAybSL1Bb42iIU/JNBNUGit6dIShtS9eg6Iet2OmwIJP3atZG89oVuV8vS/gFONHH
aAoDMG+DB6jikKCkIse2SPf64o5eRz11G2rhBzWdD3FvNNgciqtV1uoaMZiy7US4HJawNw5RpNrr
DESbptTtnnGy6zOvNbdpVpjrQdeDndAGZxUjiDrUODHIJR+uS4MGqMoo/9E6LSvFsoCIOSXwYfcm
MawUoyw/HYUx2F08VjDeY027tEQDQagkNLeO2kOvJy91ZU+rPCMwBxVistaQqEUwOjovGPiFKSMK
tkxq2QJEbYmprGapcpuQu+VfdW9SATdILdyEKE5JUceBwy4RHqGYI1TMYxt1T7b1NbcZK6TTtNUR
2enJ2LknUyrvGiR4Q63dlkjy1LC1vQyRXoVYb5KqPRv5XiB1fGz6yQeR2r62tQiMKPJji+zPkvq/
FiHgELGHb8np8lKpEkRXdbGRDRbIBwdkhAlywgpZYaShL1yk0lAE4nYOaHSRIOYLpkeBKNE1ERks
UqbIVh73zCN6icxfEDKKAPvdgrQx15tPhtQ6uogeJ5sMGkSQ3FGMp4OKllcqJFlbI+WpUyBZHoap
/jOhwY3HCrCJGDlMJxcKB5+KPE5PmqipCfo5Kw+VC1HT1prpFOKq3v9zGH89jKVY9s8P4/N78/md
9vJX8738qu+HMYnoUibLJJHV01cd7ffDGGCmSSPlwnjisP4hNsxAOUR3gxWEQeK/PHffDmPxm21y
QEvjHaWTpN7+jZZJ/xpd8EvLZAud4RnSIp3i/peWyVD0kXzjNL1oqtk18PbiSvXiITcV8CypPYKG
p4j3+jqpr5qd+j16G8bfu2m/V4NkW0iGD5ucpHOeSB5CXBoPD9wjDSLFrIw+BBLrITr81DMCIS//
yvxIgd4keberdIvtG2SQMp0vk5INMPX11wAzogdc9lhBEynExBYJvsiEeIV42mXTOzjX1PFNQCKp
jJK/wFiqXThZm6F3SuwN7pW4zy9D2ehr5l7UfRJuUjHseQzgnSimQU2uzmgFJu3iwEQZc046ITEp
oQSmTI2zG0SFcS4dd4HQP5oSrjKWUBoHCVwpy3pYY6tJdpWRozxh1EbtGcBPqaMPfVp3fmFV6TaU
9MhFFj+GLIOYtVERjbI4ir7WSfXXmokoQJRFspDikK7WqSyuWllmwUMI72xZeglZhJWyHGtlYYYt
UfdCjWJtpmqrZfkWyUKukCWdqFlbEU3dbqKvFR8gTry4VIGBLAcLWRhiNmcLLIvF7mvdmMgSMpDF
pFM1pJPkDJRC3kNRxwfTRmu8RwOqpBt9lEe+nWqftNrgMsXIY9dJco4GDpiA7MqOkMkId7aMC96o
Vn41cSmP3jSXiBGb9B3813PdpqdShQuV27jiGL95tmXhOVHOLbKXVZTHvlVld1NUHCq9+agr6SkZ
kS/Vev5ghNG47qQWHLqKHko3y4SdMursFFjWHOtrKAcGjnsrSpYzhU6xUtNxnUpSqWEOAclr0b7P
A9p2yTOd6JDW+RJ+Xr6yTtWyBNgF/7SUbY0lmahAJj6TjgY5j7Wkx4XR+kY0rXuJUs3nx1BaNKEe
W2Q5DQlTYUS0cCNuOslidSSVFZJFDBElXE8x/yWW/lUEwtUm5INrROLSLDf1HEl6nXFu+CrwV1tS
YNMGzNRcocBRmfCKeEKdbIHlibNWWam5/iImjVn7XN6PNkRndyZfMihaG3U02jrgQkBhTXcFu+89
D8K3rGRqwKfL65IZ6QPw/d7C2DHjfNXU3vb6ds7XpYbulFAdd+Pw6KuaSRC22nSgMKyO7lEhtAzo
EbDb9FC0Xfnwz/3xezGPg/DP74/76LXt/mDiJlnh3+8Pja2SS/3IQpN9oETtfb8/gLdgsYbfYqno
GuRW9l/FvKkxVzOhHAM5N7EtqvyF/7o/TPU3ZnCGkP4NzI9yUPc37g/rK0f/p/uDuR1/Cw23RQQl
3sWfi3kUoSrtKih/NbMTPip9u9LM8WmwBWrzWrlUEf45mJZnwFLMg2YkzjOrTGfRWh9B3Dt41DMX
5ANGqMwrtJr60XCZZIcLtBBj52T9RnTBOp+03Qi/Nsf5sELx4rOL/thaoMViTEiMldbtBO7TTs5z
17+T+LUeXWPNPgKGmFadOSc/C5P8ptmNV4hliGWK836XVM2ucd1jS1JkqVubRUfGTVYZQ47hJPTy
0cYQOepRT8lvxtto0V+zRt3oqvohUomEsgPmglWdz9tGy0KP4GnoLGDjrKkbNg626k5Xdq5BZFWU
3AcDqVATSpr1UE3Xgo8Y3US1YSCg7hBMqEcCVHRvccbFVwqtWCm5fXGN7E2Po2o765TccYhzBP7b
Q5OVX7KK7YBajCRqtck5RQHnxyGSWljrGWgRm33DVM4Mkxy4hPMhsrrCDwl46TBpH/K6gEVasrpB
xl/QDmmDQg6o1Z0hYUCr6rd6N11xQSpISbiiZlzM6uJ80ZRpREFfXDmiie913I9Jot3NbaUwhSs5
SzIj92ZhPCx5/BGCjz9mAGZjB4GXEccnAAPHpFa/tO0idgmVr6/H/byOWhFiYDOutKPPUcL7D1H5
rxYOHU9UJnhrPPlVYZjrvO3fyyTd/3/2zmw5bmNbor9yfgAODIWhXnse2GyKTVIkXxAkRWGeUZi+
/i5QliX7yo7wu59O+Mgtyc3uwq7cmSs1tLQeAZIeHo7K1sBiGvHn6EMDrgY3VZEzenCvHGrCJIVX
EqWz1DYIXISznHrCdsSu18e8LrXgVBpZIrZZoc54VD/bhs/PvSEgYLAe1bPyCcjiVRtHV3UksaAG
Bg98B1OYMHNAOJiNl5lmcbK22Pms4joP5VUV2S4lX02OKhJdUxP6xPxEa3LKQ1JF+BZFTmqQv2jf
TQmlZ92uMvQb0wQpYPcZvGf/WAdq3+TlvdK6bdHk1MIVG+FAkqEbCIm46aBhOv1c50znsqd3j1MV
vTedudTiYUsh6biKc5RNlnBnfeS/anRvCgKqy0R2Fy9JN61+qKbrtjv5WrQZdbkPhvxs2PmN2fk7
PNtnTTly1Y0dmnXLzhYKG3lHsvcT9HQnTlM+oJEPbCwEKSAd3nJ+0zzj+uQ5Zgaym6hipndfw2QA
3J9Z7hxL4quaNK9D7Kx6KiXdeFCQwaoYJLakRC+396FR2avJFwBwTcKkCy+Xw1bThgACnkXxHjV+
cGs84qg8poIhbA+Fn8SbrBNflN0KGjCTL4XVPVaTeptgRqyLhurpwOpvRmBpBCydDt6c0645jjrg
aCo36yPohfbI2VOtYq900eurylzkEOLsnIjlxlKlY9+TevG8bShqY6sEF7igr3Iaot2hntaeIou1
9nINiCjWR8vbYSEYy0VtsZ+61vJsVBepZ0Z76WWtWXAeVHHs7TwNH+tJmN0Zq9iuCEARlzFuZqoO
xCbiPr4AqPdi1MFt40Nwwp5+ECJXm1qrh62nOUeb5/+KpQgluqnzVhVFgwPdIZgTi8eEeqdlyGiC
3jk5B6vgw5zkVF3yr4NttIvn0hcvYVyb+L5i8I5T9RVgJhjmsCBimzPU6zpMvbqth+WYDKcRtuMQ
yXgDifxEwcInzVfHzCuegWF/nUiv9gMAhMbAqxuUDPaNNRzCcW/jx2GuL1+ipLh1Ir9ftBj617he
MH22/UU3ASw08kqLRzplza+TofO7BPbXpMsecj1aadPBHId4JewauFN9mwwcPXAWFjPNMz2moXvS
k1RfyaGYdy770GLViy3AWeLyZrI3s2vHTaaVY8tgrQOXpcUAgpRrT0SU1WnSsRTbCNe8CyVuLhBE
TYFGyszI2S7KlSsjdz0B517kvnbXJqvJDj6bNbOYJ2J/FWpcZ7xE9vzhXLZlIncWVI7lNEAJsiAv
Am8lhJ0NJYXARX9VerPe4+FqDwz3TInnicVSthwIVkm6Mpqs2QWqfXFkP65RHC5jqlXrKZvJj5IH
iB3TLKtoHFN9/plKgkOsJfwd1fSowARt+NYJPgNTsUDpA3ZStO+NlPcc0Bu9TK+SLKR8M7B2Vlzc
Vx0Zt8gdWFPr+6q3bjqMCNIuXiMedAsEwWvB/CkwYyw7oP9bfzLqpa3X+wDKK6cu7nDTlvEiTJK9
tEePYud8GXtmtW1smj0oTj4nkbphEtngV3mgw35HcSyDtaLCeVRiWCc6W37d8NA7sHdvtYBfdSF9
r1j8b3ONIk2HvP6+5Q2lkzQ96yC1Fp7bHlROFK5y5MFthvs0pwRkLHgIcmQBqp2CLcLSMc2lsxx7
XOM137QjqN8bx2D7ozUly4hc5x5rptai830UdQoHYHhaeyGiGyz8QBEKPL45iXMOOQ44u99NkFEW
rCBvzLqbMGNY2cophre8CD5bdnVucvdtEtbb4OibsnEeiyR4LILSWbVITn5WPuqFt+NifOmJpFux
trTwoC/1NDyadf8y93Ir13yXVMET1Pw0GW4Fgk2/5GI+xME8cdaH30yD/626516xfxi7X96oLka0
+RUo5GfpxoDCzWw7L7zRxmed+o/R2yAebc4AjW+/wqt+6Ohkuuah2+J/IIkwlX+XbtDRGcvZhWBN
lBj7/lVw2kR2/386+qyiI4foLLvxO/559LbiLm/oL+7PnDQkOVVUbqwujNclzMHMHdoN93bQOYMt
uqc+zo5o2nLr6J6LPz+C2DOS+vBzz6D63VkTw4WJMebu3AyiHfV2erF9cyKS0773ToWTKaacu0z9
i6U054STnex/Z1WbEo/YNfUtQDrCh5Y7eq/nlABL7wBN/8Dj8msyjA99mB1ckcDhq1EhzZ2MoPvK
OANQmGHQjVM4GCxX09WgC6abGSYrbOc9dsV972jPSae9991c48tUtxzASnBZzb4wedNwr2vXrd4p
+L5YpnoaCBaddF7HkMIgHOHGMnWhFXWKiU2NxUOYFZ9MJ6BXuwYYOwq1rFTbrQOYZ8EpiPZOad1i
JDpZqf8+MTuMOcdG2a/QMK45UTbTEH/OoMT6WL3C3L7rbHw8evx1DHhWRKn5yZt7Sjw16esuaO5p
PaHVWXFyqzRMAYunjAjSqla1M16yoLVXrduLXYNnb2mlYb3Wc7qhpgKEMJI6VCtwCmutdZqVaINd
EopmwbS5RX+Jb20jNVeDSWFLPEI5MSL45nZB7XhdJRHkE3xjiWeUh0mrbwv40ewxCn1LYpSHshGR
IQICKFRs75Qvx+QhDzQ3OJnNlH2OG5u0W0qpNm9fN3FtcfpFR1/TGif910bidA67c9jWydLKWMhi
kGob+VzPdpwsLVxtJaGH0ANl+BscUcbZ1aNh2QAJXgbmCEdC9MUpm8zo3uu9h7qNBnYi8jmJBtgQ
BB/OvYhNnIQKCuLo3cm831v4F0uiYdsUlMyOXeS9pnwaFfTeWg/+lG+7HsksE7PPrjFzzmPJsoD3
Erf5aQjHAnd3RDhfuFAeq3S4yUf8eZ7qyzuwza8NMM2jCwxwiRn8vTRCOo6hdK0jWN0aMiE4AcUm
Q7ONpStbtavJ0O3M2kkvlVOxZCjc/C4xR5wKRhQSBC/vCq9dta2jIexP1JCz9hkcdFDla/HsLiEn
XIxnNhWszC1GrGzeHNmRCSZr3iaN0P8O7ai/IPwvq7B/8EZREp1nB8VTJV4FMKZoLRLaHkBL/wze
EVbHVPmryGvz7VAWyVti2c0uVT3gy8o7JH047Lp5B1a3csKfT5R7wUxUf+rnbVkYWN7J68brBqUa
GLsGEryI+GZC4twMuoefziSXpXmMFo2R4ICwh+k/R/I3Gu8szfz98+hcvxAn/sUagVd9l4HIEgvD
Qlhga8sTZN4VfH8WkSXGq0zGlmcVjL6ZZ/X9WWThVUaYQe8h9cI26aedrvUbHi6cyviYSeXy+Pg3
MhAC/l+eRXj/sV1JCb/XFJYx26J/diRXjoF5g646xFyD4X5KE1Cp0MuP2lDpx9yF24N7YlTPIg4P
kT8+eQGHW+nGbxY2wBW+rN7FwZIyD1aWHmM3qcr1EEcE4U0nLB7wRZHNMqTeBMA1uVppXOVMkJVW
/SIIn723Svc5LHJ7RlFCGcjRQ3J/iDehiuJq3aZkxpZpLSDA17F0DuMc55XkepuPhC8dUCgO8Rz8
Her6q0YsZGHPoWA78rtFSE7Y50bHmoDHnmYBk0jnOHEzBgR5SBinyjiXJI4bWwfb0X8yrOkqJJFM
W+cVrTx7g6TyEPkTwgG358kgxlw0PLLMRoRXpXC2eqndxF0V35a+d2znGLQzB6ID2YDxbgritFqf
rEcnjtlNazF5VnUe2uasJYO36IP5RieowC6Kfo130uHsdlqtZDcy1l8Tq71EqX4hrJvZy45l7I1W
JdPJEsmGEx7slRM+Uj6xdFti2Y2f0UKOK8cqgNk2Qbw0SzdYm4W3gFy4kqOVXTTH7qn5AXTqVpO5
qgEt5NUcwE6dBUI51uvJdVamkYfnLsCYFpUYzTiNNu2gcQnsUaixPjU6+CZLKvbMJnCWSDvRObDp
HANJR5XivpHkdkOeZNy9vA0EF8qsSOCQtK7ZrLjlk+0rSC2GBv1kkeOSWzZjHW9/+ir+Ijs2W+l/
6JsfSQ+8CrYDcYSIFwGoP3+wSTb1eiIh+Zp6yHyV9uYLWShv2ePI+b3V/L953OS4+vvz7/q9e/ny
Cxl8ftX384/aG84+fgKcVB/IhB/n39w7CMoAmh8TNccdY/r38w+oqUkGiAUnIPP55T9mcRp2APbN
W0+EcwO6+b9QwbHO/OlTYs8MI0EMA6GaRm009/nXfwpkkFwsLduPxnOU31ijOzvox36BBeR+mIhd
6SNJTGnmV96U3vIgfx3LVFu62mQsekwkC/oVcJ+18tAk8gwqoEC/cF5lmJxSJR+mqbqHBvZVqWBT
aQ72aqrH+SaUeOOducRw2upmdlX0Vg8DppOLZLKue527NDBjwTU5eXBYbW6sAp6w4VdE88GKoXc/
JinckHF61XzOGrg0u75S90nU3tRSXEeeb+C/9C5ZMhDeH4JrFOwDQ2WJS6M5Gl6s8HKC+R8K/psn
tDNrUXlg2LxwIx0afWI73+Sh9lmV0VJit4BqcZ0SnZ0EEX2sk/6arRWHFvGPmM6/ypsFEw4PnnaE
WaNzkxgOc1M1XiYE/6jzCQ6XzXKqBnyQsUXzlSNgouZaTF7efsomcs5O77vs2/T0wPTCANizZtAG
n4h7gUrTd6uUdTyHGKinXk4gotXFGcsCfcd+qKkdSZZBVIuLdFUApBAgKVTVwUGvvjf6nlpFXKYV
Txjs9OE6jbE0UrkYxPB7yG+IlV9MGQJgdOU5QKWbcaunw27qO2cNdBTARBDAZRMctDN/3reNe+GC
j8tc8V5CpU/1Ri6otH+eBIs8p+GDE/rqvs3z5yh9r337QKsLwo5o9qNS0C1o33HifFeYurYOkxLe
rNudpE5DRDJSKRbqn0fhHLKSDrTMHl8qw67uRdbcBpkAmdTx9Oz3yhy2QxxzRts+y4XI39EHTyC+
so6jSoyF1Ep3P2pcuKbMe9C62mPLrG16aW71CNfQTJfw/H4/SRYUuKvAuAY5fmPKHjEFb6ModBe6
yyLf9BFSAfJptGTXtXqY0vRzaptfC4v3DGLOo+4VYB+Se9r4noKsvhk4+nFRebsknx6behb9inDH
Ix0XD20++dAeMqrrlhTLPnZo+gi4L+0YwQA2jzKOVkZUPrEdale+RdwS4061SOv0Ton6Pmyg4ZWK
u5TuJseEZpxyMspF6z5VLMqBJDinGnvBhElKt2hgGbVhq4/jMlPq2faCW65cG9fIz0BEz0OpS75j
k3lFewcOaSe/mpKOGshgk+Rfklnw78iKN72/LaJ+7jkSxgpbz03k2Oj2hOglTAX+7OZxIqu9xHLw
kvkUgth60i51glmslsCQd+OdM0FhGoqUO03t3mFoP+J4e5q88JTK4ZNlQizXE4peKqaVeakkWUc5
bkW6OOMD6N+lrFzWfmzSdDDfVTvjjo/xo9uCMTD84rqNnE+NtL5IiubWsdbfFD5L/6wxxNIPTNAX
fm4zV9Dw6bW1wXg0pDdjIm8TbMoLZjIi8h2pW4j0WMsd+Tr47UuSVje+URN/dW1/1fS6v8zGCotc
bB9LrxE3k+VttbEIMSEw/lzK3HjzR3pZgmS6Z5y5oif11ciNg0rVuIOLqK3bxLwOsXjMaZdmw2iQ
0zwFFbZ0p7ViXsAsXWLjbStISQjaEItdljN2Wi99UV8hrLGVM3DMGfswbG/rAMg5d8i9M1GfqrRj
kfFfGdHsV7ZozPakCZANwSoOM7X0XLH6eNL998g3/3HzfQJH8PaLGw8v+v7EJ2oisSQRp8SUZJAs
+dMTf5be2IcKy/nW4f1j8S2lC0OA3Tce2DmF8rv49rEStwS+KWKM81L6XwHJxXyf+TEW8sAXs2XK
kcCC+b2+cY9+euBXRSVaCqrCmwr9hJ120lOhY7tng20tRo9A8zX64Mqi59GgykknvxS54EGpomzr
jfdtF+QYgfzae82u1nLLfwE8EuvrHl+jdjQtQbm3EcajsQ6IdQc3LMjBh1HsFfLIwGg4IEdM9pRG
y7SR9O4CoXAtEHSjQ+EWfh7pwVEbYcXCOMAcu3PpouIEpL2YdTlAn10FOzsmhsmS0qn6tD4H1GVV
YGnRzNfA7QqKxTyHQrRWae92RAPyfx/9D9MHH61/mHZvo+69bqIvv7jwzy/84+MvfqOoWmAQ/N2l
8eO+jzmQiZYhk9v2N1n6+7wrftORBrjU4xoU8338j4+/Zf2GGI0DkUve/I35d9qz/POtCHwKaWbk
Br5jjjML3Xw5f553QzPv7E5Z5qkuKiy+Vxp6ESlCSQg5YxMn4uQslWklqxDYLWnjXk0bYxxZ+Y0t
JjYP6PpZFZVGfx3pR9vOyQviUlj1ZpMfOeWzy2jRGqYGUV7lUVu8tUHbH8ysTy7C6AmVFLHMl+3g
voNmhg0pPH8DPWYmTlRt8RySxJYLraNsru7LhZDpNjGNfjWluf1KjIZiGCuabs3GidRS4p+j+MpI
8WpJLpZOhaYa0yark5plfEluskz5d2Ysw1tFw0V40WM7CaDYu0Y17UE5MszVKDAWaU03D0z+QIUe
zTObSRYO09h7xfhCjLv7VNeGxwyAN5FhcXI6/dpxynid2VEV32vxhAZfdYnrYjdzqnrR1xbFe3Y3
Vs+JUmynuqxdTwScV8CNEALGg9eWMD5m1YPWDmkfu1kQAXKENpLNMgmHIYqJVs3qyRjllrUdDcA2
Y4jKtyomcYsPp3N35izCFKgxbZyGhxIkyXSy46rde5UXdbeQM4zNyBqNEtiQD2Z/ymQ65tp/J8Lv
+h9fxL+//96kL2+/IhKYvOr7cfBx/2XhBLXe/v1L/13/m2EF7Ox5FPKk5KuJavj9PJiJBA42YX3m
vBv6X4gEhoFzkQ/L7D1GNfw3F2A575r+9Dx0QexgUptdxCbxy/l5+dPzkNYsMJ18MM7tgEtetMDt
uvHWLTo69WRwzowqfkNiyilOtO6oi+QmZWmgUd3+qxbiqHJsgUWH1umABjlSVkC0XVbe4MFe6wCm
65C6ZBxVfst3OeBWWvjbvvNPtMPmK8xOr8qKLk43fQ7BpxJdbtXCLMVygG61S9zyYM3G+cxl52TJ
fDOl5oU/a9W3nE11r8KVqUaiyJ7CiTI5pzaR95Tikp5Pgi9x451E7X/SxXAOqYoqXG4KTOOfTE6Z
DT293SIW3c1gusWaZhVy8SYeqWwO7jO2c3dfWswIe4SNiAuXsTNCXKaUazVrLtreWuEbXVsJ9c5J
Wi8KK0M0LMVdLVlZjXKlqBJRJeoAybWIOtBxD3lBLNs8pPtCnx5s+YXU4qo2hxkRe2DT9QiILcJH
AvaJHiZCfyOXfadjoWYP43unk8k33I1rafR36eFDYCByUlG4TKn1JtWJWSaakbDuuY/c6xlqGxT1
Q6HZr0rBGiqSrTZ7KSyXtL2xh8z1CZ8ONifbufV4h/yIfbtWUC6Ypte1kDg+9NdkmHBr6MDVmfSw
TLn9fWaKp9iT12iLRFmwF2xKZTQLObhHUmt39OJikJr0h6iLiYTnFHxa/j3t6dclI3pQE8Rv0pQq
4fB56LS70lJXQzjctuznoEI8shx7Syl6W9i0Hy7rkizghA12bTbVV3ccL7piWquEPPFjuuppWEAT
Xvniq1ESCDHnWlWeV6VLC7kp5ux7vHNisi964G6n2LUXdV48W7nzxO5r7hUYXoTC5MKHHOvN3B3W
tcWV0aVffD6RssYoICCaGalDUGjcFU5LTQH7OjO07mzM1gHS5wJF4MbQ+5ZcME2zAGPDRa2N8UoL
lYc9gXYB6u0e4pY3aULxoAEGwoLIzNvWKdeyzHajntVy3YBROPhBH1ybqngYGpL/e4vv3FNGGgbo
pL4LAxTVqRX3RTWGFLXVcu/DB8Ni3gxbfNJYllUvMPwb8XpUIXchrfwKiZlIDcGUlnta6Mfjus2S
arrvPgQSGyMn0kXgJ+KS+xZygxZYD5GIi7VAYNElASIfyWXIBdrLLMKQd6KPS27HskefMTxv1fZ1
eojYzq2zzjfw61tPRWdTPD5fzNOQjzSNuQ50vXoZEbaY/ZurwJPDxSuRg4owPA/h9GXWnqMq8FbA
yjY6wpJKAEZOUDvXORjNVYL8lLru9YBlqkWWmnTvc4RMFXpAJhjo8Zq2+wghq6bGJ0XYSiO1KWcx
Y0LyIn7D4gERTIQ5MDFksUQ4F95dA5YftMgY0QIBbbYA1RYOv8DvXxtHPBSF9ZjpLlZ8xLcYi+Si
IuKFoyN6sMOBWM8EF5ic/HU/q3f5rOMlYXqlI+zx/5og6WLIm60NgBj1z6y0dW0lX0dkwTJ2H8oq
OrHYeK0xAyx1TKMOQqKjZhNXFVKRgQbG1AWKWfeNV32Ibz2ESH54KJIxpu42ce+zjoT2hBVyafde
uK4gWjnzxRe9k+sDd+Gi5cs08tVzuSU3oblv5mszfWS3EBLRkIwD/RJHYgRXyXzRZkht4YE5YFa7
jM64CK6DcgkJiMyY1j63dS2kO7eQVbxpFZbcstSv8/lyT8fQuDO570+B/6KN2VWIDqDNgoAxjG80
h8eXkTzGsu77XdkI7DkjQ54bVG99ARVUq2GTc4O/jzznGJblWwTIi5Wznt0Bz95puXnvmipb+iU/
jdT1KTNLcE/6rBecfu9mpQ+8U0E14elQtm/S7OFJZymftSZTrC1SPSCuX9N/jmiQBvmadVyzaT6W
3+bHIvy/O9K3OxILxL+fiOYmn8V7nb/UX6JfpV3n9eP3ycgQvxmWwQQkWXPOtKYfOgFLU08nVygo
N8AnM7vgv09GNr+CPiAR7h3aDWac2u9CATclLD9zPtVmdGJ7+q+YFACg/jIZYX2h04C+VJYMhGv1
v0xGEhhvKQ1i+1qC7dCeJ3gPp8vemaf67mPAb6u2xsg7agz+6F5cAvy+auL7MU6Qtj+uCfl8Y4Bq
GuCupI23A5kzXypo7ZpvGMGA39UkSATMiZPi210E7CEXk+TjksJ1qObG0n5cXzxsl3jiwJRjLCOe
i9F6iu+yIu3u8ZjE5jKFSHwJDYzGhIficFMCLJ4KVqg7giqcxrZyH3Ic42oxIoE/lAiNZHzschqX
IsedsdSaKl/SUurdWElX8pis4ifNLimfkQblZDwafRwhRuAteBJEJ3j9nlpmPi7HpRc5/lIW5j4P
9GyZWbE66ZqbXbtO3t1m7ILXtUpMQQFh3u2U5tv4airv2SQNNLFlkMW0gL/nDAvIxrYLlD51b3nA
4CSf2izaUc88vWWmZq3CQFCesxx1kOvQJKQd44cQlkqKvddZ7dau+YE0WES17qmN8JusE5YraxEb
KszXXAaZFLmLkU1mH9Jb0yShK3n8a2NZB1sXA9Wnpu7iZwbO5pN0G3cTp47BYpaV7x3gjGtpUaAC
koR38ybXgk5fB82s3Qd+oap9aBrKP3uRGT8l7K7vBokCShp/JkL32GLTnf4Bi9a8GRxdEd8ZaGmN
RP/u9F7wTiufu0UF8jdpFAKmjmZGdaNBq8602uU5GDWPoWWU9Xku+GHUahf/nVzfTi60kH8+uVbR
e/ArayEv/OPQcuYOMt37vUBlXkx+v85xaLFH9ECh0qU7w+F/HFrWbwiPtIK5LoUJH9HPPw4tissQ
daha1MVMhv+Xh9Yv7BzCwqbOolPwlXT12e7x03Uu4luP37a1TrBbmU1sYo0BqqJjJ4cs4sPL1rGb
XJKEQi9NitLzcboo7iEBg9GVpWL3JQnzpdVS8KBXz7GbGsYNqzjaWeKORcGi6XJ5pk8Ys6ul0mhf
taN5R75Is/dGo9faQkqtPWe+5R+S0aGSz0yS2LhELtuTI8dV2rzJPKC7qrbK2v5U4p7tANW8s0OI
VkUeqXSpBNe5rT4rF/JDxGirsd2L1MS4PU2MFWt/9qNMAsg6qlGoH83Zr1JXFf1FeU6rSjjIallX
dbtW+hgd7XaEGuNPpVrE0pcvqiHpwYzlM6bBW5iWGALUTWjaMzrt2U2Ct9hhT4VanS0JELyXbfYO
sAD0V5dV4gtY4SU0/KVZBf2eljF70+Jffu5Z1S46U8eg2SfKoAkFSi3d395nQ8OOJZPefxsip9s1
Vm7uQ80Pr4AezZGRmutapQYEqbLairlpA59yS4w1H5a2VxIhrwF/S27N/HDLlYOJAYirv/La7Ogp
SQWzX7un0banfSKwuQDHxzFI9aw7V2fWZIsWFs3AGFdwbLjQzUtPvsPW0bZeN+1Sg801utN29LnE
aE1GCbNfMz2J4VGEKN9JPwFKhllfGBKiXjss27Cm6Msa2HKF2O1kOoNubBfQAKjiM0U2yQVfkHUL
iD9/j3VRE1uK8s9xJ7gDRNWXfOzib+zQ/9YxghPmH0+t9uV/S37+HFF/aZKfX/n92JrJIjzCsJM5
EgX6L2QRGCEO7JA/cu7fZy0XfwaeCBYz37YynGjfZy3nN/isNvUT8xnzIVD9CxXKtP8qS9vI25yb
+NpsjkH+Kn8+tiQAcGxTXnnOhwhc4ehAiTTxyKZD/jlCol2bMYvLxsS2mibcACa73Ve2QVhc5wKc
Zf2hn7NOGbiHVaurXVCQO+L9wPxL2WCRq3ijUKViN37t/RqnAscNVG8spykaBswFG9JuOcqbsMru
7RpGX9VbI5vS6WpMiAwHdKrr0Wc/tu6yLMrPruFry2IwgHyhm6z1wYgOWRp+9gUtTglF2F7ChXZQ
5ruh1dQDYAK7yyu5o9ryGJfDuNGHfK01A43zuMCLMiVzVl13ZCMCUW1tvUFms+kBcusLcgFY5bE4
NTYroaC1tokuYV4FzduIzxhTadCtXTa/SyvykSSqCwbTDbdTvFqCBGddR/sudZ8NI3RJ+vTXXVCt
TG8K9v4AT1kN2S4sImM1JMhpaT1br6dbPzDGna0ZvDUq6o5pRNgts4NrOm0O0uNeSYxsPbXalzhO
JRf3ygVVFG37CZhU5aP4aV0iwIui1iisYSploAyItFskpYibsrFvrduYTX3RfDG94qvLb6dYsfFb
IUKERvMSqlzgoaaJVbjtKobnuLDm5m4LgZyBF3t3KoCejc0OAtQtB0pxU2UGedF4WOuVUa4jMBsr
+A7mFt39TkwunupOrjzNvi9pwzpUXYzCiLfcqfxrfW4DpOBpQ+3JsSnam96n+hCqE2zsTcEIB8Um
+ixFI7Y5dZaY7bJwJdNqM0WcvNX4aBbZRuTds+jHcp9Z3W3XoIkaU//OnzysByt979zKOGN+x2xj
jDfxgFjhJ+FJMgtf0VX+atQ0DbCfN/dQVp3nkBjpuqJ0mKayvEFbnTb23LJZx115HXQa5K2ADs7h
o47T/ajmtEoWMzjivlBQ2AO6tjB4uATuht08T4421QGWXz9J0ZPlGXNKNEv+CGqISkX5UD82FJHw
FnuBv9WycLq3ygJenDn2YO/di1c5x9YY39OwSlZGYt+mPjUfztQRcsI2EfYrQ8b5OnGAEWBF+RJP
pdy3hftlcJEWLW9quETJZlUYzae2KniL65MPjm3lsuo5UFWCb94ljpqINfnR2brgqVk84BUDbLq8
D8ZNbPjkZ/2blAUpmkSrn7tQ0eakhMlaJj1WZq6vJ92piGKRxjU6cgf5oY9N7gO++RSXk4IZ07ZX
odD0k9XX9ruu+8ldoYtyl3beqJHpDKmC+m+m/jZT80j4x6fT/65U1Pzv/Bo15a8ma17+/RGFbQDw
Ec4+iVuTkA2T6/fJmqeXxTrV4rJLAzdr+x+TtU2zEq/5o3OJV31/RNHHhKMAgyFIrG/z+L94RM1z
85/WJDwzPYZ7uM06z40PseCnubo2McEiRwTnAINtYx4j8buH9O/J5M6fBYf5OetZpI/4gqK5Yfvm
zfl5ds+MQpdlOg7XQeLuGUnlZjB57m3cbDgN1uBQ/JGPzXbisKM5tIT7YFBDcDHRQ6H6IaGfwAfL
hgu4X51UrXkVvifLqU6Oo+nDWjRqDFY6+JIJU5O+LiAflQRTsmxda0TsB7SIbV0E5ro3HGNbh6Ja
N0Ufby2nxKbbOTcxS9ItZgd9pQpiNxGVbyb5myLWtnnWT8WF5oPwa4a0sLEMTNPx0mtwuLFxFGbM
mMg/rY0SKXEdiky3LkjeSUwMf6g+tQN/i6iaNpNm2AttCB+t0jiGQwhoi0fjIpHJ3uqqbQc/sIfa
tXBb7VqF3YOdWHeVbC41j+og7x4cm1Z5z6moTorEVVVzmIjqKgzpaAqCZI+jKUJ1cY49a2PcHHP2
scAQhzqjo6BPxXiobf2pjONxmaaug3WtOteRE+8gi1ypQX8NnWREoWSPInxOOi813iEnUw8jJVlG
eirodMQFJawM0/RgbzGITMdqLI+dr22HLIGxFwXbLLXrFQAcOg9Lmi2jU8bAvPatuUcEasA01Xu/
jm5Du0qhm8FxDrRkX08z55LtTd4MEKXD7FLU7TG05mg/vfRvY5c0AA+Cfkk8bjOUfFQZTNaQN1nt
UEqIQL8fyupEH1K0ALTP28pdgrGQrHEQ2xdbjAUeE6F2TY6XCl3XBOQoGPPH9lQ5nYatvd53xMK2
Raq/C0d9wZjubevUyY6WzLSUSKkdfSpzL1sZg4jo/MJGZ7iGdpBcA7eEpd4SLdxPDskvw71vuYOk
oe9QLU1EOGEasYwr7IqfuhxvGEGiuPbXFO0sM4eOyz41t17fmis4NjAOc3fX6N1nY/bWlXYwr16e
kdxOZIAhCtTDwU71m4nftDPyU4ajbhIkwEvtxWyMd5Lpe6JaV5YP58F9GPznwpsOwHq8jQ1Tonbt
+wqTb9gNrx3XTNV6BGqz5Mo2x5vAjw1CoInD81s+4fF7sljTYlgwrqTIiQ2LM7adMRPhMpyUhRWt
+j/2zmu3bqzb0q/SOPcsMCwmoE9fcOetHRStcENYtsScwyL59OejHMpWufx3oU8D3cB/V7ZL2oHk
WmvOOcY31qA2b52huRNJT05nMizNEGVQPyNbIlxnWR9dtEWyQ2vA4bbXPpRKeOs42Z1SzlRWubaD
8hV8+L5ylf0wqDCFYmtPwbtJrbTDWQviptC6nehEey1kvOfzXZix+oTnD5CGkUKbKcCM6ZyhTuR0
JttByfTHQjr2Q+MUBCcO4+gD9fST68G3GyzaqbZiespJLmrDZaUkCWe+GdzajmgldUVdSh6LQ1+a
0akTM2oirXsiobDcz0+YZtrQf1z8eU7lO8+TxWQiNK0PSqNbq76xTn4I68xPS+KVhdtwMxszpqhL
L0Znpunq5nWrAiBhCFItg750PJIhLvoC612ZSC+WgCX6skGq6YoHy7qJufLLqqP7bw9NvneM1Dr6
ZciXPZHGk1jFswiwYFiMznjkXK6ReasGZcL3OMJ8GoNDzITDGxP/KmmL525wF7GP8DhG/+0r6s3M
kzKM8qnpEjqq8baP21fOLWd4C/E68ENKbJk+6nG3RqDxVHCO6JxG94RGBe7L+cDbwMSP7fHQ+OZy
HCPGScSjV/rnzGqHTQk8Ic77x97wN6ZoS2+KuqcGLEJZc5kTSS6ufa/lzQe4B3AuCoz5Q3wzpOMh
d+W2rTBhKjK+D7DtR5JHdBiOvZ9tgswHppRa1207nbHzPZK4dCoYQzuiv5czfE4WJMlP/boXxBwN
ag2d0GXiljwBpWCqG1sbyFYmDWrqpdaJdkEDsQX6O1Y807rRJq5akwI1CnL7Fv30vjUQsTWRCpY5
vIAsgnkIZX0UTe22iANgFlQKhlpvTYJsWG6WSjccjZxPn4X2wensLQEye42JmVv2nOiKRekkZyrX
bZLRksDiAiU1+ahAEIdbu+1S5mBV539U22TPd72MpgEZre7uRTdeNaXK2xQNSXMKMdrWk6+Wux4c
gGj7G580HmRS0xpvLVzCKLxEJ/AKsp9x2ZQ/qQLWsg79xjXTTeVXt1lO+nqSF9s+6KstXPTxQMzE
Mtb1Q1dHT5ZfXKg1aGldL1poGqrmFULIS1VHjQDI2VglTv2QqyHmdNU5qy5nTJlX1ZyECug+JBGO
6vhTRHz3TEpUHmRpcb/Qk1+NKv1tQ0Tp5wEf5FI3shAKx6gfJUCy1x/OZ5dfDjQ/Bi79XIfPRxDk
Z4Q5cwpBZ4gE5ecjCKd6LcugJZxicoqSD4n7LMwvWqG/Pef8q5d416EcuYutBC/lSa2wZdnnrjwP
8eXvPwajox9Oa98+BnmbnA0RmhrvPoaOKoS81Sg4q5JdnkCL9jAMt5CLf/8yzJr+8jL0KwjzoOqc
B1U/f1tBEY+GnfTBucumVUUUUaPzHFZ3nbiUBKpbDdEA5v7tNf/d6DK4iL8vJdbYLT9FzadfFRL8
8LdCQtdpW3GAFph7YJHME8LvhYTxh4bOCtUUjTD77YT9Z6+LZQFAo/vnT30rJJBtIj6mRaXB2X2L
h/k/KSR4eSEYTprzL4Xp+/M9w5lEdWK/nrgn7yvHpz3ydYDztw/Yu5vfVPmtqqPaQAxcxpZv9IEf
ShXcwVY5lIZ2bgYFOQSBHcBJzM99v/3hAvxirfi5JKL99+513vXsCoXkwToytbM565rrg7Q///4F
8HL99Hz95RXeP19alesdw66zPhCuKu5s95Xs6YWroFHtVxSKi6Z/LLttF122nIy16IWZZxBc6sVV
m5PQzq5bXVhmQHQ3Qidx1cU3kr7NAJr+9+90Hvv8uBL85Z2+K92MSPHRwczfBYf42UpU3ncEGxaa
OEvKCijj6OdebYWATf7TsaLF79/ArBX8yxtAxmfOUUWCifU7tyNRZlrbq/Z4pjgEZ6+5NcwY1q12
MZaiKhduDJ5gR/rIvga1ZXbyWkPmwRZUoDxXlWlRY49Ceof+dd0G6l5ila83aUaUgLGXvgqOQldi
7W4wMgrCxI0dz4d1n8fxqrbqXdnhae+rtdaOSyw9ANfOvRWtMjJZZrFwZ1FZDu5lRgIN5yW/e2jQ
tgXNLUHyR6NNiY2zlj22TF0WO8OEgDYBII9Lsk1vixK8k2VAmahqvkRt0WndwVazFak4Y/XQxLQC
FXpqMr/QWnEF2TIesk2fA4HLzNQrjclYFe5tK6wlRxnGWMPsDQ7EUkQw61QnE6siSR8x3YIHxqDq
mj6ZqoE4/P4KGfMV+KmD8PODL949LjLCi9oOzXRWN8bW302H9t7YOLv6DHfv0G4ZWK2cpbsY18Zi
z8BkXSyHR2WXrNuNurGO0To+/v4NzQ/Pn+/nr4/vuz1SkJdsZ/MtS9nBMS2Xy7rxMPOpX3pff7sc
/erO/HE5erfgOVE2pWHI6yiAM2+Hz1WwQLtNvw65wO8/0VtKyPuP9OND8F6xweevDarvc2gsSBYa
yFhfwGCVDVP/RXBGv/37F/zVCoi3H5kIvF+mvu8uaWZltDaJYjzLuIHh8Nwr/+Ic86sF8McXePfd
wWNBLBHo+pmw0Q6bnlQWhAb8i0/xr17k3SrrDq41jYiDz25/MVX71rrVrafff1G/2pJ+/BzvlseR
vRqruamfmQyhCMZXa1278ckNhy+f5b/7dHSMPtVFU7y2/3P+zZ+KcqyjIGz/189/bL78majS5cf2
409/WL3N2q66l3q8fmm6lB/98kDM/+f/7j9+ndjdjuXLf/7Hx8/MjZZR09bRp1b/6zRvloD//fHo
8LFpXvJf/9S3c9GbLwuXMzcsJ9a3w8/3cxEN1vmvv52MeP2v56IvQFKDozRjvlnAzjP17Vzk/sGR
1+I32vzjG8b027dw+eWp5Av822XiTe/1w4LENJGzOkL5efMSnFrelOo/nFuILx3odljyjCinsVfk
j1Owd7Y7EmUeYdrV/Yt2Sqikxrjvkw9ap9GEQKoRtbtyAiQw9NaUHJrRldMqBmaAjUuWORIamVMj
gPeSdgaHoPanFfEF0QiFsIbsMlu5viD+xqZp6jU1FkNvf0QXtEy/+MAY1mMKqywSd0ADvjnGJrZ2
pEpv+MBMD0AJClvLNDZFoEgt/ttN94YdrPtAmHeppoQW0u16F+kaPZ+cUL5tCYxtOxjgDV+l4Qzr
gABmpEQBgO3VrBfZAmAE1O876XPk59bSDaQGZ78c+5WS1mgNGJd4WM2BGGU0eXqzxiJjMs2ZSInd
QMpWUI5XgdiYY/hqSQX8fe68xnmKgjYL0DeQoLYBSYH4smevx2gtL8KgbC4crQ8Rk2c6w9EqoK+j
5M+qDYFT19qkXmbA7ThXKioua/oO8EPUrVPTDwcRmH/UnHTyrKkI9mWtpJdi5m6kg+ZuYHm+JPZk
bozUCFa0ZsSGQVu0Upscv1pgxythdullonbNAlEu2dY9VpiqkuS1Fyb2AuMlbJRiC2Cc26LHfM/p
oiKyAY24ainPxAEEW2tKOw4/BbxHYCA28S6bEmOfZ2dx39CxgvqRtrq9KQii27sYhZa6EsZE43Fm
CwqrALZDZkMXq0vdxthg2nK8cl3f3EiX3KNmVlWTo5ysjFpA7+iQleVTzdt0jIc0T2j7VjHUuloQ
Ej3z6wo7BVla9pjzCiOeheTVVTBW0CcD2V7ZETqcadQqmINkE+6Y5KVrHIfDCg6KnAUYkFQ0u5vR
gtXKH/Jkq6Ww5CrCcrZvq8V/97q5eSlOANian9fJ/5eXzRn48PfL5ixX3Rcfqy76xdo5/+i3tRMX
D2oqDUQE9r2fKT5v0gqLxqyNMu9Lstq3mtIhc01F/IR2VP2a5/Jt7YQKRHvlyy+Dc/HPKBb2fFb7
8+DD0klt6orZYSSMmafx7vSPoiIbBjHW51HBI4fSvNM4zefEYO4sRI/nSHCCDO3wZJk1NEjLvKrw
fyMfVa8NX1wnNXBewD10fcMdi+tFaGvrHmtGAtdY6ad9mmsHJ9eWk44ouxcDGAzjoJKs5BlddsIK
ufYD+9CEyprO5xUcrjt7pE+JQIhUU6RGjod9jiSmfJd0BeBNkMVWaOygLn+omS4zfboak/TUjdGy
d9XTMHPfXGs4WM6EnFNbAOO8M+lAwnWMV2ktn92oPfouh+PaeDICNGRtu899a90a7kUvKrrL4ckt
hjW8rAXzlBOJJp5RVMd60O9tYW5DTTu59N1JJjnHWkxar7ZiA1pWzbQEEP3oRs1lGHbHQI6LntVE
yG5FS5kwR1j/7mtTu3NGgewWYdftJ9f5yOPuRZa4j+MexjH4XbO5DoNpo+CXyEpWxLK+GRsy1fwh
OgemjfSAeXls3ZlNtp3G5jpz2udcH0CW5Sd8iYfeyrbm1O2zetx2VePNAwCEEye2T4Jl3J0RiGs7
JI7OUcpta+e5J1J5TDom6NpIhLSffDQKce2W1iIE2+Rx2j93SnsI9Gw5BT2zpHzR2Mp17A47TfU/
iJmMD3nbIg3Nq8KIcQwGh9BXq4WdVcfISSW+h2q4SsfOXxaR9dHu3ZrGNUDb0oQON5T3uo5YLZPD
MwFptJPrGg3h6suG7DdOHW/xfoZIAuo6PotpAoEfCys3Nn0NeNAl/QuwOIi7mXVXVB2cYrCmSdGW
+9wiU6+Z2XhaqhnHwZx6AMdEFqTIhTwEhUz/jSm+1jUdvyhBnbDvt3EOQsQh9peMIZBVOXF5C21m
9KE7gSs1c/u6meDn90QBNED9IjFWS8ADUJAMK1lPM/uP6hNYVdDcOXUL4N+izo1BBUbOWC4nNu6Z
Iegq+q0CVBDs+RJGzHkCSC6ADhKaIFHP9Qs4Vy/RJI5O3N4rmFnjYz2TC/l/YRiivUDUEqyiGW9Y
ZB/kzDss+6aFMwIDEZQFk5dSPKNBopc/kxLLpiIWV7gn9g/Y30P82aWNToMEf0Q/sxYT3XkJSvcp
H/U7Exgj75/svEJlODiTGo0S+GI40xvNnKYlGydaKAxuJYhHw4mQVGR7Muo/iGF87Wx1H4OEFEUY
rQelW3GO/hBN+srN0uqEZLAC4cwWr89syQLIZF6GAHKJnljpYW8sO0FPXGr5g8Qju2yq7LNSzIas
gRxgOwzydZwMO19hyKm6wGam/nEqmEum7XCOVPt5nr8NokcANWTct7YFbbA3+cl0GzioTfVKJ/cg
nRaVoW/8Qn9oKw5FLFOY3Ex0NEDtOyt6GAOgM64iSIuqgL+CvoWO+ax09ZJx1LgYfOKJcv/egCe4
GF2MWnoHlzMJFozPdEyRdedNdXkbShxhajyOq8Hiug++/2Ckauf5pW9zfxnrKmFU7bqSRzRKRhJH
eCyJfuVAYxivmQqxpfeDmU5DJyOJJCbqasdsxOK99XuoGuchI7ZiRKTiZMZOhiq8jB6WsrpvpTN5
qeIitsJc5nXqcEhC9UYG7YWZh7faaJPgBp07Rx7kOUIaS2tQDlHnaDikkzuG+fjBstJepnaZdjdh
mOTrWjZBuFAKki57uDjwx/twJ0BLhiQqebnqKBsVsQEgTUZoeZMVawRtkI5GZLuwB2xtSK8iUp2/
lPH/PovMLZ/fnEWiJonGovtrETf/3PeDCJ5hHKyg/3DH6G+Q2u9FnPEHzW6k6TSWIQgACvhexOkw
s1xcLBZ4W9AXMxTj60GEVIm3mCKULfS+304274q23xZxfz2JCNSltmNgmBFQDS0qyR81LMStMiGt
reJyqFXo0b2QnigFx1wht6HNc9SPEIlgf6pnPoR6oaYZiQlWZCc7WLjFQ0Rw5BGBzOA1hlHdxJ0l
tubQNSeZ+OXnsmWoaadwmsLUHtEcUnwsSleRFAMkHFw2ddaeCbcRj4pqtWvNh6ywABNNWFfu56eE
RfGzQ/DZOKTmOdCQJZChLDcTWvm71hnNx7RHcSl1szu2TWhzWpnrR7sjRkczQdAandp6pITrLwW1
yoOppvk2MNnuCe5qPvYwH1YhBenKrkn5tmN4B0hUyiuJLC7tonYdREG57KUmQLAqueg/FTyB4kLL
/WkcyKFLug1yBqgdInDj8BS+cT0qv8nrsx2ShWAH2hDehEQvQ8GaqSAThG1bnhwX/SwuV4Hsc12k
TPXptfWlZEoKIj+6sJScAT3i+vE57vUqW+nkxbiVPzxaco7CU2yzQHRj5esgtMz9iNv1ppXF9JFe
LG2nXI/Ui0BSaUYBlZxf9sEzTsFooebT9NFvwumFsJuHWqnWeRDtldl/m2kA+6VZl1ullAGiQq0b
NwnDfXje7XhIioHtp3UTVLJZgXAkkkG0brLWwAbVZ6RGJNW9sCOEsa52Z0Afp15mYBiq5LSabMYY
exvrxgnLbNcq4NpKtbJO6P5V6tM5ElRvzeLWb1SqmT51nxVbKnsjbYl9HbIz3gJlWbc967GCCncl
04r4p8GPOGMpRbMjuzC/BuY683Yn6ymAPbScXDu+G8gsONhEaZJ7hDVK82HSymme6idT8Th1g3LB
zcu+YQPBiIPaf3CmTN7lcY2+tRiiGyUaysuwx2qZ43IjiVaInpDgBgZkjzWpXTWD2SwDTsU4yjhG
AXiALW7h10iNvT1I4wpttBN4amFpL2VRTusq4rzjls2ck+qY/3f6af//1YWC1fE3a3H7MY+aFCfI
L1ZjfvL7akx0NoNE8A36NzPi99V4hjtYzIa/mhv/bKnNqZx4FHVaODaxbm9r5J9lIYRW6EQM4aFb
gUD8R3AH4+cB9VtdiI+S3pyDz5KuGm/9x9UYmYSR1MS5nTtiWaYjHkMzPmlCjfVV22bpJQaRvl2g
RTuZZHN1c0bXHNZV69ltr0Gsy7TsUOn1IznD+7TJryNyvto58MuIQTiY5rEcSOTJyQQLjD5ggJAc
eEDvpzh/oYIavKLXGyzRVnFlki2mZXjnQyY7HXoZDPqQRdM2PrLeQepzABsbfa49M2ailSeDdC2D
3iEomLZZtEdt1QabRFNQfqlQwiMvK40YBRZpyiWUhHJnR3a2qWwc1CnRXLeG36Id9zMZgz51WWUP
dRw1j7H0CdDpjUwndY5YuEXbxRc2Lah4kbpmQ9JDbcLAfqtWktzuafu9VTHZW0WTUtt0+Ko8meb3
9lz2wE3HRTMXQlREpY+Typ6LpHgul0BFH4knBXSHkscrqamqyVcJF2Yg5fd3OlWXUk+7liqsJ0gi
7+UOVfYS0/phkCbteAscOfVbneok9UQfS6W4oIxTvKLtjt1c8tnUfs5cBALvve47ZQcKdZX71cmZ
5WJGjWdQbrWo3ZNVtEUVegjc/JRRZXZF/axSdbocpHWqULJlkGfZW18LzlbIilSl5U1K3WrnpByX
6kZSz9YtmMdB7nBH3WezNJK613WafToXwhxYdcYsr7kGO4BK2aBiJipmI0qqrqI5+lTU0N4eMbsv
7c5ZllTcOR2JqcjODpU4roNT3ohtQ4U+wRjvqdhFlp+4ljAxyI6hoo9h3TVU+JNhrjsq/tiMN6Wl
PulmvKYNfCyN9jkoaBHMlz6wyaaqwdNm2sahl6DNJVVHd6HTIftU8am2dNogQCwm5c6kG5HG1Kwp
/QkUrruGfoUTOZ5L/wLZ/6LP03vCqe4KNbxGtbj2S/OAZnmNJ52UoB5Qx6gdJJ0ROD7twqVXktAz
ASOxx0KzqEMKb3oqrP4Xkh5L0eA8QfP4Utv6de8O1/XcjvGD3ryy6dBElqRV4ws8XXp2rlOwyhk8
vtnZVWD9nM9QMEGqs2qZoB24pTr6pSmOg0VlSRJKG/fzGAwndYBfkRkHOwquhqq1lgOR1T2q1qVR
VU+EynH7GdayLKFsVv24Vgz/iYygo3SHcO1k3S2WtZWhGLaXiJZ6rpiov5O89IxM2AslhH0OYSGn
0NOOvhDXokZHqKDK9+KBK85+dhmXyqYRGfVsXGzLMFFwGJMHXw3asY27DS3bhYn8SiW1acXdwdXS
Cdh1u+ay8kMIHaK5IPuwXoRjc5Fm0Vn4ycGowCUSxpVZ1anUZzhLlX1CVczFmJSlLhu5jP2RL6u1
rszU2YFAMJaIlEkon6Md/Ym2lAICtQC+s9BDcsXjqDxkETrKpEVqqhcPrS1gu+pZv1Cy6dTNLYck
+mwZVUxPQofzgjp2mIMQ8ri/tnL9A+LrvWIGW0fp0jV9rhK3kDyarjZSlrMCII1lBl/mgKMrv/NI
earWcTceCvw/nmVE5ySp7nqro1kTDreBZXK/Q1POZxgnAjg/5avBmkSnoI7vXNIhF+Qw4GE0FXmY
CiO9CE0r+Xcd9gXqZLIX//3ef9ulH+uXv+7780992/ex+qKOw4tAEPZMOKSe+rbvM2Uzafg6EDZm
p+8PVZgxB8AKLMDM0r7Oy75VYQY2BgwGlHM0byE/UaD9gyoMiPK7fjAvTJUHnmWu9fBGUED+uO+z
0hNDmhXdCXhOxJ3aPXGgDL0k4fyr9mjV6xQVqR8txsI/RrUjl6Ymm0Wd95dZU+xs/HhIhhCzuX21
BPx6EXbxcbQRWxZ6dKOqyeeehClaBz3dNEWC5ZD6sZhmratqBYusmY18KgpT60lvxINbMXdxQles
/bld4irTOhWKgu49pHNEG8cGzuHBGv9gOvlTORZ3fYiGvmibEqqqBd+33eU4AVtXufdz1PfIBg0j
OvZJeGiL6KkpnGxmK1/Whgk+KCAflA+GQwxXK3rMfacVj9mojjAADAxzLfE9VSoRccq7US/rFYi6
tRBTu9RjCC5CRqmXKM7nKqTV5KTWoWnTW5lPZH4G5spMnGsIxZ+rxr2MIDPRg6KdpgZxu/IlpVjZ
E+ydf/Lb4tGvmNwX+ScqendBWRysuhxafmNnl1Si2yhsPBEHT6lOM7BMnXIpYUl5siw+Sc0lFIlQ
imyspVe+5b+KzF1zXqsXlPGHtiHyW/iHPKC2jcp6PRZyrdZyH7judlZPj1P/CsjnBY3HrYHhgP7o
QxZM9K/mepGL5Kq16UlpswaqceXpQ2VdWX1zDN3hla2wWHK02hRgbhddjbyB7tW9CMxr0Y44j6Pk
VgT6a6db/W4E0+9RMndrIAwPmYJ7oAg5k5kWmzRacOAy8cay0scCuuAaiRFeMVOlAWaniwqpr6cS
H87odq3aJQptR91UbVjAkUUb3pVcNeJo5EI3LZqJZAVWSPStqGk2flNeRH5W7acs4ezJmu+Zcrq2
U6Z1OQeESlQLMfngthKaamo7UIROTbxMscbMkz2FCFdu4rHhGmZ6GaxkPd3ga+FVcwdNd7/21e5m
cox9JIlvtPWUgLHKD5ZBip4bV8CnthgeHCiHuKPLZ1UrarJtfAg3A7HDarQFBIhJVAm3KtynpWIn
+UJVi401quB+0cDgjXG3HCBHz+idlyyuDuSNgTdu4nIFRmxnBeMI4Ax/apAB8q7Mva/XaPlaoE8W
R52mc9lnaljbYiqny2yw9AuRJ/lyQNwb7FLdDY1lksh73UnqHpNPE0Yf+Br89qy3diBXVmQaawvi
cH5ro3EolijPJ8NDO9aECygi9iUu9ci6HCvk0UY1BI9RV66alFvIm63hp7JpSE+0OP3JwVPZ/0Lb
DW7CSp2dIuZwhXUHplUVEfRi94bpdQxal4NjNdWOxjK+jypC04yb3kgB9YxgwmV6VRTWUOH/N/SH
RKoqjKS8nLv2aYhJ1bI/qUEH7i2xxppoZXya7gwmEma1iiLdDm7V1k6bR93vAyLejInDXqVmlv+E
MSUUR1WvM8WDutyV/94uv26XyJ7+frv8gO28qz/+Yr/kx77vl84fyE50OhqY577obn/aL2eZtoni
A2IqJey38an4w1XJUqczyWzzi2n9W51s/KFrQrdsdlpCp2Y/+z/YL+fd8KfpKZX2bAYHgqiZc8Ly
z7vloMJwqeuc3XLeGOhRBhDaIraUH76Xr4qXH7X1KI3/+kJY5gEQo6eBPvxeAqjhNa8sCN4ntTPd
uyQkEwCGfDpOWyp4EwN3m3dih8thuol1Qruw4TFRdOzgsSxilJvB6F5osK68kip1uAxH49oYi57U
vTGwm4s+iRvjqWchdzDXVn2PXbYQy170kWclSopMLQXbH5Vloa8KmXZYnhXMTF7U+PkDAwtijJyp
VpdN/slMhQQiWKZn0ankumplko7rwh8MYqU6T0lxBnp2JAvjrPaamRz6ND7XLdacrARbEbqXhqa+
mE35Oa+CNX24WxvbBIS0jalYxUYnnRXDfbRyhb92s5U5ZDt/ZPxmJLQYmlpbpmP1Gjrh9VSKk6aX
r53R35A1huxT1PGjndBidIOkOyp2WTNpM619GrnHkrEU5DkdOZ6iGK8ibnA5+8xR8pZYGvxvAHVS
xaT/OetO3VOTUy1MutMvgSfqmza370ZNeUh1pmhFHDKnadtAtz2IuUhisJ+sOIxFKyKc+RWtvtYS
q76rRQtB1nLy8Bq6GsG7tlav3EGFn5FGI98ilhCvSZg2CaUm3RV/fQXEYx8qTKF/f4/pP0sS6fig
QaDRjxKYk+Z8Ov35Xq7GugqCwalPzSr7KGtPu5lubA9X9YIYecp7D+bUih76ql7lnrkXa2NFPbP4
l5rCubP05zOFA8MAdoMq0gJsinLMeadcJI5Hdkwdi5OvB3s0QMMiCSrfK6UgQ9NO3FVFKsS61i02
NN9Rj4FdQ83mGllJRRCxPZ5cKC+eo09P7VC460YHvtm25dp3pieI9Ah5ffRNFHP3tCpsTpEVuVcN
ld4gfZhzIbJgEH2r0XA3jB8xczEjBDYMOcLdTgZgPV3fCJTUHgivmbIkFlRV25hk48IAm4AcYiVl
cNCx6JO+Ch+BcDMEwnGz5CE+ycE1NlUQ434ygrtAFltSJY/d4Kjz0HqjJtxotlsRa6vGN7+/xD8v
IrO3BfsCujvWS3qOxnvRqTvRuy8zvz6pPVJsFgLohDU4GgWNHFBHAdgmYLn+vqL/YuWaEfA/X813
r/nuaioDY5EecvKpCgzCe3ALdkGxnBp7K7LuWFS0IAKrLj27qhZmSp/FFPl4mGrYpfAWDkXkPKgR
4wpaFK/s1Wsk3Ue9sK5Uf/pkBtVTJqOKCWxV/psK82VPnk0d36/grDn9qiWd1Vn/+R830Uv9qy15
/qlvW/Iblxj+HjE65ldt0rctGUUTiiJkSwacYZ1G9J9bMpLPOTSeRLIvQ0Z+4bctGWSxy1aMlol1
B33pP+IS/yIjE18VShwiNwV7JVaZnxeyyQizUC8ixoQsuPRxJzzv2lMRfIYPPpHY49XkdURzcEdE
pMlBlvx9DfzWIt2jIxsLw+l1SuoHCTDYl4kBaZLwIa/NDdTzayN32CoIDGnsR6pxyHgkiUwkirQm
3le2/56s3Q5sbX6LbwL1nqtSq1CsLFWySaB0Ly1TvzBHAOBkl0whpA+yTHSh0OkZWiLbc9Z/4k6S
Kdo2HWVxTBKKFthbOUejiKS9HMhKicFdTmSnuGSocADKSObTXxWZ33MG+ZBo6C8FuSu1q6wnclgi
lyx2PtmmdGleEUFOFdZanuGTDG2T49KihKFkpNzJxcYm6aVuegC0ZL9UUh9I1Bjt3YQwlSOzuIjV
FGukVLaWZMXQoDWD5MPVLYad/pYvY13Lsrse26y+S0mgSecoGoswwoBsGjUzL5jVAsdShyNlGmVk
YCsrk0SbticjcSDjRpB1AzMLDzDpN6P2GUP5U0AmzuiYksQzFtXJIfxQhT6bVsYxJUnHsPERcVK8
e8MfSpW4HYXTQTsH8ECptqDsjNuYbB7HkauSGXDX8J0Fc3yP/BLlk0AeqE8ENZBk59txsWlNKnSM
1dHIALpU213hOAHdYTTFmt4iL64KtSbfPBIoOZuGE8HHtK/ocLem3pJlTAfVGww5irkrWC9BzrB9
hixy5Ywg7iqoLIXxKQ/ZQRQfS4MB13h2gPJfEoP01Hyy/E4s3KR6ZVZuEXEfL8ecssWeOaSBmVzb
Uwmc2bBPSqg7i1Yv+R0qWFwlfEgH8Zg7A9FQQ3+DSihEJUIDV1Tm57hsXonWfpnamgajnX4ILMGt
YBhHtaeaTQBU1LkSrYD/GshqeyDXRrA03GQrwvrRScx2bSgiXZm+8zi28MFKAbjAsuXnxiG8KGfO
wZ3TMteOGmeh0hg/poFyCpiPL/Mg2OdojsQAzyXjfsHxDifpwsrzTVyUV70R4xAGsVsKkJNWEcwO
fw+YGmwj1br3Z+Sbyd84mrwPpuoq8tPFKJTmIJvH3DRRyI3MOSBqTtGSX0VdaSdLxQrpEVhIwpSw
WaT1QJEurdqDYXBNNmywS8LwYrLyEzKd/ZCXr4zYatKGevxvSB3rT2/L6b8lKupvXQbLl/R/nEBK
/KI7Ov/g960F3CFKEpUBOeF7AF7/7I7q4g9MiTpDThTs4k2I8rXaE7NGBfEK8lXuhVk+8n1rwYPA
Im/b+JKtfx55+b7aQ3eLx4CKcubIInp5d0Ju/S5u0inXL/Ni2KpJdLADsnD7cfXDjvurM5NDf/jH
QxO8R+3NUIprFEu1ab97ISVQEwSuibxEgpfsMNU5YvWm6GSKSh81wBovydvV2uLsjt2hSkoQxwQu
lQ2IPQlFZZXUWnLR16YL3MFVFwYRHB401gBxef0gm7JcgLUgwcwo/UXYpDclL7jQy/QSonIOdgPK
h1PpFcyrfpYk4KCHb3FRZSD7Yqz+6CMnaF9o6gzUYL7Vr7FntMtucrVlgzCjtMW94thHV3QkbmrG
A3qUgtXIvMFLcq1kiFUV89RGKkhlGc2tO3dXuz0w7IwaA9kGBCeyOQBOL/UQEX7Xt1cmvV8punvX
qV/0wH4KshFUANMwlKs5RV90adb+hWVn0ZoZ+pY0unrThHNacV3fwYjbRg5kewxlF6ornoE9Jus+
U4Ei9iiB0llUonA09VJR5JgRpyfs7D15wOhNHdJ7xhS2TGksSdZ7okq7q5vgWAxZ5xUamQdVtzFd
fRtYgeK1fZPxRg3miC0gMuCQNwrZfwvSqRwo2U9um61Uqr6uQq3YdAJTpwmPesbr07/bJHb36jCz
xZlgHrFXmDs1z/JlVVgLjdpGZ2AK2EoQIqhF60RLL6s0jNeGgRYpE8cg8AOv1cTGpc3uhbPwRrGI
iC4rNJ29uSXz+brIp/9i77x628jSNPxXGntfRuVwsQssi1E52ZZ9U6CCK+dcv36fo9AtybSne6gL
LTBsDGamJR0WD0/4whvGuTbVX0ITcKtfc7xCpLys+3ZDOt7RTJdvQWiDxezHL0kYGqtBmyDSQrao
AzCC1VTd4UJ9p6Kq4saDss4TZwPnQXHjvl+lsXGexvYcUoh5ZGlghc0ku52i4jqwqA2mZn5lUm7g
MrLQZWm1lYUbgIrImJ1x0C9YYsAjkRlbgFcqt1lEWXU52VIzuoY5kJXK9NMAFqqVX6/1vsxEVXqp
2D0NxhLlliThHlDheqJ8vql07a6XnQ1U42U35aj3jZSGv8SGhsWf3yuIoXDNG5D9sMaOI3WjFfpa
6WK8xf3FaJdbzwwvlFi6BwMXo0lSn4NlDa5Gtbsa/LpxB6ef532sbKTUwJ2u747sKsnnErVNI6Rm
29VduEHCt/9mRlaNekuB2zh2aDW6asDbZ4FeHxVRDO+1Xvd9cz15eJsOODR1kXwWVflxbLJltSw+
S1TjMJGkDYRIoNV+ECBwP6bLqKO32OMXE/U0KYdWuQgaczXkzX08oeUzgI/IzOK6rxbplbUJ9OqQ
PuV6NK3tgMLLZFC1oohU0+/4nuiXXY/aM6j0IqebTVslyvCgXcrynP4L4DXYsL2mrzvQqpVCmT2c
im6lWVGzlJWY+ez075muzEi6ezoAqFvrfbFqCappMHyji1rDwdW/NI1MBC1FenmVY1rv20jFYGeY
IlfxL47R160sNo3wORG0CnAy1DUEm/9lKwtKlqZ7ozmegcS3ZvrKOxgu82MitJm0zb6Cxt9orjfz
DgsXoAfU5M3v319kti/qGI9v7yA1bkCPg7T/Jg3BttzoJLOdzjoLeMfGAf/nDN8lBFj++fuo0ESo
ZgqU5lspCafhzgqHbjpTwDYO9QyPDEr4Pfjl37/P69vvcTqZT+5ARDsttDZfT2dZ6qBWlEA+M43D
yjwttJz1+/X37/FAN3k7aS8/zJs3afFXqdVYTNqy/hK48aJby3f2HCsMvONZY7ML1Ktm6VJdfz6x
58nspIPf/KVeeIvz6KCfrRH/PGrm/OI8X/KfxZffP5/6poTy8KUi5IbhFq1bB23T15OQtHhTZKOs
nEErO8EgZiEfK1/9A7pMktvOx9nBN2U1uCflsl/DV00Pg5l2Djt82c+S/zQNHgsUQiHh1wWKTTbu
EPEQf/McQyrGJ1MA4eiY2xT5hS/vc3kC23SCSyJE2kJQshwCxeeOAawqU3dUy6R2gX6NqHc8lydE
hx2iqq2r6oPM9j+zTX9wj/5riROl0mEXIGebei9AZcEVe3ksaUFSKH5nNSdpbAbLPE/C+ZCnuj2d
c68IZfnwUWdeDzoZ1fm4i/uFoTSqskDJdMzoMo8hsA30rcvxNAK4iTmN3YKXxQt2MMsWtdUk0FbE
cGmCBieF5PocGmrUqXPJc/IMoA6il2dW2zpVNrfkotMPB8Po8SFVQKbWW4vccJpmjYmal+wOQ4X0
5gxiZ7WK6sI5pkcXbCDA0oLre/1zmRcu0vIJYkp5jD1NHCHgVvbdIYj1canaYXZiJXF7oZhxfyOT
piGkFAX+DYrOwzIBZXsUmnG+IOzyTiLJ0JfUAYI1OAe2u91r47liqd6mbnMoSsAFT5Soa+aVV/xA
gQxuyqCq1dYOQ1K7RldhVXkGEtlG1FypgHtQmc6MWxyYnVUXJP2Rj5wdhr3hKpF07QLSbLIYoG6A
3ZIp39oKwEOjaaQNXZjxpJKraBkT8y/1QikKoLYpkBtN0W74mpBd8OQJHUWMHkAJBup3TXRSgwkE
4yxWW/Um1mvjEP6VvxnprlwLFUhKByrZQ+H48wmU1GlLJ5gpzTYlTuSXCuJXiRuR6hwDJHBoNOfB
ySg61P6IVJohOteOk+DTCm3sZCpDY52WGeqIYwrMSfPHW90ckiOj9+ovLRCOZY2oqgsGQz2mXie4
tUEdL0fHK1gotOyVOJeABRj1mRY+UI/l/JArpjusQQh4I8JEYK7tZWmMw49eB+5nF6l/MFAo5tki
SwKhaMpow9eE9vmYJDQ8WvOoHO1sVfitAvONVTQYFdq8k+p4B7CBzS8tQAyQcOqRSrX7lMf3lhIC
XccwWHU4eZV8Ok4BYZzdRxs/zLpFLgH01OtivAgE2qSr+3Ixhu2w8LvJW9ZlXfvzhwPlPym6aOn8
+mS9qkIAByMH6YNCwebuv//r8UAWf/Z8uKKQBOREVsh+RX1XCI0+H66q9skU4l/CiUAleHjOzknB
MZuzLLquj0frXycrdq8C1ATGGPcDIhf7n/RiaQi/irjoYNF0ccAsqQ7/xaNwhr88WSX8QMyyrNOz
DKlQlpTaUuwd25Cq4wyHU9WBpdpR2YTIdAtT4PuUT8FqkLJLHbDCTLNuxo68o2j9dUXLqCzIhFFJ
TQCPWCdyo5QC+4eJegG7EexANzf8EV3EwmxnQeGT0XqxINE1dIzy03ps7iQzLmaG09/p4G8XQY7E
oZMha2OHh4MOmFlzomMJ9HQl58Y8B3EAZwstwgY54pk1VvDd0Kes2uqmgwACVAVvcdW+kQZlGfSN
An3PX1vcI8CLSIJjCmNG2X/rbelz0owcJLFyqRnNtU8Vf4Xbmw30UTNPfc7lha7gNdcacbVQRn9L
wSxfUbmG/uVU52AhTnO9RJBzUi+JBElT2vB8UNnqsnGvN+lKq/ptrYeHukr+UEmSO9hUDZ2G33bW
qVxdt1q4yYcWTlnsX+e1ee1EN1qfz+Eg39aOc1up9Wk1hV+NfLiNdRQ/EUqZ5tQ5zyQedlYZ/ToN
QgmACMovE2n5cozDyzrUThDhPJm00uOYBOY1qnD5jdJON5FCj4hbEny1rJ9JRs8FWZMKGxLS5f6g
HEaB6a8iqTWXpZ9wh7Xywq6Hz2YNkadHHgj3qgM7R81UdtLTYtSR04lLNHaKTF2NjUBqR/m8CtvA
LbCfJksPqnkkp93C7LxhYbSqDMGUn1qjukZG9YtnW9iwtGem3J7KObc2livlqsIhjBtLAIvijWpQ
yBma3idRmhC0k6tNKtHLr1TJW7HRPLfPu0PZgsrHV8FvVjeRVF3AYjzrfXnjR9bgmmqEzCJ6RY2+
dhQUDOPJ/NyAqpJT/wsiCffACSSaCQDvDQhRsPUcALrtdJ1FZTH3VYzjrOKr1Lb1PKn7z5IDcZU/
pROOdO5C6+LLUVJHBLMwIVOU/EdaSxik5sWxPjqnsU6RoBkH+rJ5j8Jt1y8GcEinVo+pjxRVNuLr
oeoidbrumxaMrFYN28Yrorlc47qlVTW+xHH0tcXNKwk/a40Q1nVCa8Fem8NuARzUWM0qw+AOfBZ8
oEFRPVfL5UM85I71DMnONAq1+SRJ54hXBaidl0DE1fQkzNQMbafBdENNo+foT0jW59t4gOTDWrvU
tQNp/BHL9Fckv7rISc61cYjmQWDRoc+/UGr8QcoViULWj2qSvzm1gzdbclLgJKgiHTczailYmCNF
5jEtL4K23iY6ShDhuMF3CA1JJ3ErZaC5OcA1xvTcrezxh1pX332pPezz5jwppOOmA9YWZs18itGy
dDoiMMCR6NP26izCpYzuUYCXYdP8KKQUBZKhF74G1jYsq++Ev/KsziW0NfIB/n1vmwdNC8GzNiTb
TSL9mlO3BFyONlOXmLeNYtOuMdVwzoF8WEvVsPJrkHfB1B00nta5VFQuzGDYRqHhU9Wn19qUdbIo
fADEtV6uzdScw+6G9xAMl41RUocS5LQB9Xbo1ZAHMqNi0+VsCdvEnS6MFvngneTC1lFvvcG1JP/S
8/TTvHAuHU9fa8Nou2YmnEHG5MIr0Kb3lXLpN3ZyDcE0BBraHUkwYVwQZmxsI/pKtt1A2ejjJccq
/Hw1uBky+GvA+5Zdnx1woF+Met6tAW4NMHTb80JHC0TUeDrEileBHCJaRl1gZlCH8uzsAAlh3Y3L
BAmC7jyk+Yz9FVjUUIM3n1cQDfyEv+26SwM7yPWUtTd1HgFERQxmpmZq4JpRCWRtkn5QtOa+CKpw
BafunDTmxtTY22Vi2S4Qc9w2B9pR8PUy9CsdfVbl5TVIOc+FPoh3/YiloYaI2SxAsWGec2YbRSYv
o1BulgDsbrDM+4oZoe5CQ1ni7UcpjK98xnVXuT1lWOousr+EscmcdqG5oSKIOZWOxBk0cDYNzf5W
7z4HY3zecye6TQSZOjRqbCUtg7ooMtCA7GiYEPCyYgVTspAmWOgw1lBJy4UsSY+1T98jfYD4AFJt
MMrvjNw4i/zifsBva1brEYq6lJp7CH0zs82OwDOVJ5aBs7ANMdOysjWFmk2Dlg5pjNoibQpzs0yi
ZFNP5WdNZeMnmfZVgguPAc5dXyZLx4s+c9nLh6EJdZj7f1Mjzwn/6MqZ4rUm1aCJIHsL/gXmZJBF
PQPIJXLncIjgkPYV5U/Vsm7DIZfmKaIvLinLBOrVvlDAgC4Mg5Jahvrroigor3dJ623katyaEouh
CTp1Gcc2VoKo2NiedBD6/raKrLmPGvVsiAr0BnL+3irO8hjlTqrt/gIh8tsCQMgSQv43XYZXHpXm
mdyaX3LdhASZDOvJ135EMq7rWqdgXKtWwcIeMswoLcgEjVnHMznHBz6LFOxBw9EBvKp8M+vuhEpk
uADahD2PxKkNksufIw7cu6YUbeVMPYYdHrhN6EVu2QFzFYRBaOircUIyoNUMpAvkeB35dAowveS+
E028UvUyNxdUQ9Ox7wJfGmalTeG1UzQZb0XK8LkMKT2exKlqfk3RDKR9ihFbWkpXQdV/rhy4GFno
uIDD6K4ixO63Ni6MdY5jiB5cNibCCXARNq2PSE8qO5/1rD3zk95xtbqBkVFICBqY7Ceta5aDLyVz
Nc42EpETGzKSXVzCbwo/FZ67bHv87+Q6Wpem3LskQvc9/V+pMH+YsnQl4Rcxt1Jh2uHEPyxht4Ef
zG03VocON/lstIxb/K9XpQ2sKvOVAy/Tsjn6AXgHm/FXP00h3Q+V6tpwKiIpBc97I9v+EYGBPrN1
KZ8pbXRQCHGRoo2iEzXMNx5q8TPbjr/5NFnQsYiulMrOZkUrXVipY87UNN/oTv91IOYiDUMLqiny
bFE2mu+OBh5vOKvycXSESuwe4fk81w9tjC5se6Q1b5WJy777YarIULFmyH1ibSl37XXRsXWDSjnH
l1JQXbRjzQybRWZE1ayNi0sz5Duiv6QRXg6c01V2POgV/H1TP1Ds5jZKce6A5fW1HLByT1v585SE
B8OYXIFISOc9eti5Jd90HSYuNmJYM6dBfCRP2qMCvatMHuwZXDAKm+gls2qje4fYOOgwAQUAcT+l
1cHkUNJG5GqjqgAFkTRp4MIWHZiAmijPijn6gpKVGTg92kpJyEO21koeqh9kqyVn8ICVIDFfh3B6
mETX9Ho2ngc+N8624BduoqY91fWSNLRR5oCdl2hycFNqJQqP1sUQKIvBwO3YK/PLoXbWdN83DjS9
Uo7OGpzNxxCezajRdvaE83R3VA35pg0LNzHkDsWCSBnd0rfU+DzJJvN6RL3EPiklo+NfGA1C06Nt
uq1RSP/R6n1KJn/bJv7W3mx3JKAvO8QgjCjc0YKlKIfq28sEVAEqbCI0RwnPpmJHTfC5uufwEwdI
kIV7wRvrTxt5Jhx1HX5EcVuHdfMP8MCINL3NQcFOWgB/wFDSd1CE9t7LHDRpEHsZ8kE+baL82nMy
A5NvTTpUpbbg7lKKcyMH8tfS6zoZYq+m/ofmalPrB1Vu4EGdEcpRXzGOqgopD92Ou1ndm6uuby8T
eyiOq0mCOSejw2bf0qgimk17hE3Q1Zkws3UwtQ2tQp4X0DZaIZSaURxyLcp0PVa4ehhkV4A8kdwp
ils8Iw/ztvhcKXpBgEK/0sRSNxHeurlw2aW6tx6E766Prkp2jpLlChtykivNPPTM3lk0Pa2stJc8
3HJoPidJeTZ6zRZlu1svtRGeH3HU8bH+29iZg7BtLl00OI6fOTgVzVITElqiUbT0Rsuaeyggub7E
MZN54xlaBJT5He2uDs1zjCxO7IYmMCTA61DVrprcoVcbqfc0rQc0c/3PFUSHsKw3rcmdnE7K2iud
O7hGGSiPYB07w3kmw7tHiD/N/EPKZ1cKSj64K4j8WpWvCivCtp0voQmKxk08LkO1wdOvpSZaW/W1
3aO0UxdC3gguSa/LZ3aiK/PAC89Dh0tfSntck8aRzjgEvh8ySBIZRIk9hYedgJhoUX3RmvRZB04V
9GC4YSwQKZGZQGAqkrlF/D/DlLMt+cJUi2wU49UYe6oqXYRZbZ86ajGuksxWZ52JHQl+YMd+TRu8
7OSZM1n+uSSyhSk0sC+mfVmO6o8kN0YTqFtO+y5SnZMkqHw8DitojDGWF42RxssMfsSBj5BVkFbk
fYl92lNzcE0TFQR/JNuLITPWCjSoSj1BMiAjgEDntgmBuSptDlDAkFbRwM1JEPPdLIIvcRy3eM45
bqkGGfBo3A1qn8lNaOSSBk1fLABVipffpDhFwY7UD0jjzhW7+KEH46INhlVbDrabAY525abSNiZm
5oWZHgyNsdB97XRU4lPIQsI6kHtVzqOvcu99NlKpXjcxhoaBZH2uGt/gsdUjrwDOLdmknmWZCukb
+SIdmwMgB6syji7C0F+YbfKtl6sbw6lyLEfQfRoJsuwqbueV2Qs0b0bsyuQaunSAdKC+MmWKQy2N
dIIH60gulVugxtq8bsavhaYiU6IUy6KGDIPVZTkfh24Te5MMDVg+6ZP+JmCuF6bAXWRmWILmKK61
rDh28pq8KV9GaISAXfZuGxnrjkokqElfunTTczeO2sOBsgRCQwnc+dG4a3rjuC/B6KV2dFR6BC1h
kcYu4msrDB+/21F5iCj/ZyWevihSfc7z4RGiY+/WOwiaZQg6qe3cn7p+7ijxsV1CP2on+aJ2tO9j
4xSnyIIkLna4w4EUj9ImT9FeysgMuri81BEbCYr4wjYzwy1SUpyZrnn1xrMYZaoCqtOWvqg8FKci
TUo2aaqeRzJ5ua3pJvSteppJuRW7ac4iHkk4XFAdp1FeJzwerjhekFAe8WHEqzKiiIZMHV+J/tNF
e7pnqcD+utb7LU92dNGEt+KfhV5sH7lokSzkeuTqBNf9Z6GXGjAcFBQDLdDk/M+/7lkuU9Wg7WaI
K5V6LL2t5y4aioYkCyY+VaRoqpAf+gf3LGaSP92z+D7ifguY2BLiszzEy3u2qVDGSdRoOEXYR5oV
doNdW3XVqDjXRirsR9q0+VWIFAWEtTS9rFuvWkuyguL75CFyjuiZ7+ReMyt17QRHXHkBNW6APRDd
axPyMw2NkMOg7G6cti+u8pHdSZFgOHN8H+hUmlmu03r5lV53x5UMxazJEO7Ddfk09UtkY/vMvwC0
m61awAF0KjxgUYrymaspWSeJ1q4iSAC00zfaaF/5ZVstBx3PIhOmwGkSDqkL2+k7QkSk8L39JZvU
8HOpI20QcKcum8lpXUlYvCpMwWmo2N5ykBtnXeY52kS9ip5LilB9X1jo0PoaUW82NeRrFrXYQqgq
RQQGbXrUlujqONK3HooTIm8tHtykh0bA7dXqi9jy5YXqdwdxJWGfY39hNo/znO6R3MBKyc02hRYf
fDc6fTuYVHEIbL76Zfy1MjLKRoHfI0sQXjY6G1pLJKobmWK5pu+v4wlCj2Sm95pP1gGu6MCsIOM3
VFcQc4iiZQMhfhl4Pd5hxvSNL5oml1lc5pJ3oiNExL261jAA4pNod95Yn0l11h3Fto3YW4MQbtnb
J9rkcNR504mR85U2xTBHsOEsTrUbxC2QiYhvJa/geA+CgzgZTs2eDoBViGTbRxRH6tWNgY6rm7Rg
VXvfOaV61Lhqqq/N2jwC+GUvckuj4q4E3wp/Otd1kNGlBdpqmCTsQdFkYH1Qn7XL2D7VRjiJN8Sm
xrix4N8u0K87BPY7pRQJK3+Oo1c9CyzjXqJBh/IahTppXD6AmT0nMoDmJgeI81czC9k9kknlSLMQ
H0g66tWerIAsNuxwNRoxlkmoT+AfqV5UhtG5nV1RfPPj21ItdCpB4YhY4Ngu8sgB14MaLtouTDIs
ro001jg3GzGSmWxwV2alan5xkWTZwMrWN4NNF7jAwe0qCzygtjpIqTwbKNZHFGAckyK+RzKuyxm9
Fu9+pA4eUs3fxIZxVTUebu1Z41qx5hI4n9AaTTa9bpjkyq08sxJzIyEEfGo15LtwkBq3UEJ8yCpA
STE3n9cYR8giIISA/6YrS8ZBhSrWgTLmh6WeKJsyD/mWGsdNtOta8U6l3l8irjQsaaSuGrwmYtdJ
gQMC/yKwCeZ2mdwEibG0aV438AhRsrAGJjb9XgT1wWD1xSaWLAAmoaKcBj24P69F/CsKSxDMROVU
yryTrqQWEDnmQh0dFPYypDw0mEBo+g3no0JZasSR9KAcJ3vWqqq3lstGp+mQ66vR95y5LBGxFmV2
CDDeWox+qx3Upj9hzaVIKz0vsdkri3NTcsC/xeOBJPvXVIG1MzUKAXlGWbyRyBTcIC4OJLjn/uB7
CzMqvpVW5P+os3TuBGzjcyuK7qdoapCOdrSmmj1cG/8PeqVPj7hTNf1P4Tnx07OcCvpVvniru/63
fun5jto90FOrdIcM+8sk1kDP4c1l/PBMDxrwvxsi2VLjbO+g5WjWJ+5V4m5U+h5etD6THEW0xx/D
9iPDBQhBk1XBiInXy69x98P/rD7/q5n6dyeBO/ltL1mg016FJX9nJhjnxVSA4aHzzL35+EHFR301
FdCT8Osjl39wNMFz84NOhUJItedUGJ80C1IHK+OXqwI+J/hqgWPjvV7smX/vu/47a+bXK/qn9QAj
8d/ZGa/Xg/UJ8jdgKio8Dy8+6uv1gKkTYmqWEJT8gHMAbOHxwf5ygfjne8LEhAHCOwH7LxeCCl0P
7ObjovtoC4FU43Gb7jMJZBgiI1EFa+T1CuBEsB6YgI/T81FPBGENvOeJ4HxSxKYCbbN7IQDSUWEA
A3H8mCcCC2H/3YCOkqI+nIuPJwI14tfrgdyWM1NRnib8A+6Gt9n7Pz8SkIrk6Hc0jctQvH6aBPUT
5TXQoQo/+ZDnojDr3nM72J8Ux1RRAgFlJl7i5ngZNhErCDIXi+WxLfEBVwKH2Z6T4LDl+YgmJjy7
J0Hw52wqKUJV5EOuBPXx29nvcsCjUdXZ8o+TwNp6vRKIEqhzCfb6B50EZf/bQSUyBsOuU5t7eL2d
BKDzEFXgi3CNitdHvSiFGu2emwJFPdTy+KhP+dLbLIKEyrIN/lE+6qZQaD3uNwkouIsmqo4c0tvd
oH9CIQgtQvbEw+uD7omncHafg0HoMaoIRcEcfl7zrw8GIdSsKgqA4g86Ccr+VwT5A3ckUhqUKp6+
71eTIMoL/IzT86OGjU/bdJ+V4HwCf6xYcLsfV8JPwYIKVMBQEDH5qMHC07ezzyToCLiokJOeV8Lb
sBEKlUrbRbeYKPH6qFcEOqh7no7U3MTnZDU8nYFvp0JVPj3Io0M7+Kgnw3vckwTQUFitp+CRaX11
MhBB4wsJcEbQaz9m8Lj3PclK4AMyBTYVlqdF/2oSOB5Rq7AQPoLbJ14fdSr2z63ZFLIJ8QdFhofX
T5tCFvZ0DscDVGReH/V8eKqI7nNUkleBuMSw5mlrvI2mOR+Et55QW/uo62H/8wHnIFFrx1Jo93pA
7xobCxnduQ+7EvYvQdufcC4S0/AUQ+5aCUKdG2ba4+uDrgfBRd4vpeCodOAL6Mi4PWx/UcN5dVSy
KZDxIdrGIvUjnw9CNW7PqeBSAGtKo+opxfypMYGBFksGv62PGj9o+9ddLFJMwexEz+l56b9eDwJM
JKOgKxxoPmT8ICT691wJGjmmbABWetwT4ih8NQkckoieAkC2Puwk7B852LgbgNbCTehxIfy0HZRP
qDXzD5X7D30yPNYB9okcTO5EVfQofpFuc0giXYkK2octSwuNtT03BSUmqs4ABZ/S7bc3BZuCugxS
Kx92Tzwe2/ssBAqyWHcgDfY2jObDK6ZmMztPS+SDHo4/maH980aVRWkJJy7D/FXZRTA+RM1BKA59
zBti/zDaoPsAb5h44PGKeHtDiEYVtwctyw+7Gx4fbJ/d8JBmA/97XvM/3RD0aFT86GDSftCVIPSs
9j4WiYdgLwH12hkwiVKsA0Qe5uzzzz/kptD3jxhM5EFQ+pSVp0/69pBEjAS0BzvmwybYT5XBPTYF
CqY0qqg8PcOb2GavYkcmweTwRFfqMS75eC1swQLYc1PYn1B9FbaWT338t7ECk8BFCutOYH8+5nbY
/3gE24MTCmiGp5Php+0A/5Goktz6o9abhCLPnisBFWCbsBH9tsfT7+0kcDwi+a6gsvZ4Kf+t7fA3
fulPtLAbhMndA5g4vK8fILyPoMh/+QvPKNqfB3iBkn3ACr/6TQEufhz7EUsr/v//bO/SMJuHdVOF
t436gOt88dNnnOfDOz39/dNH/PnNX73Z8+d6/pdr7AC21S3Uuwf09NODPloF/G+CY8Dd9i3G9xHT
+dfT/Pd/vX7YFyvg96Mjr3T/dnBRM3r+dztQ1y+vnN8Onm7v8up5oL+UrkRivveTz/AP3fXgPNze
Y7vbZNvxldTPY714ds7E/ceHul//9JUy62zcdxg8a6rtH25eN7vegmxq77f4VzLjD6t4j4WzSP6Y
5xWL5/lZX8w/t9zez7+s7uts1+AcZnsPvkrus+x5nBcPzs2099jrNr3Jk7vmeai/hhcwlb2H36TF
fRVuk+ehXgz/Hlv2N6Ki+66Yw/tqx5wL7P/ek3IYZv6Og0DAQfYe+2gb7zjDBMjiHYau6/tdc0LU
sv/gef3H/2b+fXK/a2beY4seb+84gJ8f9cVCfI8terxFhHHH2O+xRcXYRb7rdFffY4se32d3+W24
6/QSMOu9v9nj++r2/u55oL/mXdCP9x8859mfx3kx9nts0+N855y8xy5l6Oa+uh93PPl77NSTbbFj
oQuw4N4TfnLfbX+OHZHXfo8telptOQKen/LF1/keW/Qs2d7e74gdRWFu72k5S9p0V3AnupF7D34R
EjrW4d2OmRE9rr3Hv9zeVqQEWbMjgNHeY5debrM/ZveI1O56g/fYqo9vUGXb6m7nQSa6Hu8wTdkf
8/De3/Uh3mPXig+xZAfchvXtrvd4j+0r3uMg35btrttKoAjeZZaO2rD+4/QmrItdn+M9NrP4HMfb
5n7X+O+xnxkfg73ZtrrZ7ooZRLn4PWaK93Cxnt9xWItK+Xu9Q9VOz4P9daaKMu/+bxBsd+aE+rts
6t9ZGu4b3l+GdYxgcvs8CS8m5l32cp5sd0UPoi+8/6wTmKS71sy77N9mi2xEsm3r5yd9MTXvsnVF
mWXHPSw8mPeemqv7YLtraoSJy/6D/1Zofd8VedVyEuy44gXLeP9HbykQpbvqcoKJsffwv3cE33dm
fiN6tPfQv9Yt/P3Qu8qyf/L0fy7WPvPvd/3Z61q0+I3b5H5b/c//AQAA//8=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619F225-56A9-45D8-B93C-F580D60E7805}">
          <cx:tx>
            <cx:txData>
              <cx:f>_xlchart.v5.2</cx:f>
              <cx:v>Amount</cx:v>
            </cx:txData>
          </cx:tx>
          <cx:spPr>
            <a:ln>
              <a:solidFill>
                <a:schemeClr val="lt1">
                  <a:shade val="50000"/>
                  <a:alpha val="99000"/>
                </a:schemeClr>
              </a:solidFill>
            </a:ln>
          </cx:spPr>
          <cx:dataId val="0"/>
          <cx:layoutPr>
            <cx:geography cultureLanguage="en-US" cultureRegion="NP" attribution="Powered by Bing">
              <cx:geoCache provider="{E9337A44-BEBE-4D9F-B70C-5C5E7DAFC167}">
                <cx:binary>5H3Zctw4Eu2vOPx8qcZGgJiYnogBa9UuS976hVGWZO4ESYDr198sSfaoFrtLEaO4MbrldndLrEQl
eYBE5slE1j9v+3/cZver+l2fZ4X5x23/5/vI2vIff/xhbqP7fGWO8vi21kZ/t0e3Ov9Df/8e397/
cVevurgI/yAIsz9uo1Vt7/v3//onjBbe61N9u7KxLq6a+3r4cG+azJrfXNt76d3qLo+LSWxsHd9a
/Od7f5XF33VdxKv3m9fIn+//na3y+7vVO183hR3ev7svbGyHm6G8//P9xjjk/bs/tj9uR7V3GWhv
mzsQpuLIQ8wjHqfy4SXev8t0ET5ddjAhR0QQJjiM/Pip56DKizR60Gd1d1ffGwN39vDf3QE2bgOe
xr///incrp/GGoAQsPjz/ccitvd3767tyt6b9+9iox8eVz34en2rH68fns0fmxD+659bv4CntfWb
ZyhvP9q/u7QJ5N+BnK/udP0KGHtHFABExGPb4KIjIQiRFEm0fuEtjA9W6BcQb8ofgvCmxBsD+HxV
vsYS9o6IhCWKCX4AEdFtlGEJe5Ih19taw4fqsx/dDekDsN14/xtDVjXW3r/CypVHLiYUoGOP1tnb
hhYfuS7jGLDfXLoHK7Qf203xA8DdFHhj6F6vineT+D7Ur4AwORLYFa4k29BicYQ59bBH3UfsNwF+
kU77Qd4d4gCgd4XeGNjghq3a+3plXgFs7whLTjAR4tFSgz3edLbQEfeQhBXPN9F+kVL70d4d4gC0
d4XeGNo3jc6avHgN2y2OpEckY+zRt1o7V9tgU49g7BHYsJ+71i/RaT/WOyMcAPWOzBtD+jJb3d6/
jnftSSEx855w3nG/8BESjGJEHu243ET7cL32Y70lfwDSWxJvDOdp9m6ia4ikXsV+CyK5S55iZQlQ
bi9pIddTweUPBn7LKXuRavvR3h3iAMB3hd4Y5j4YcfMaoZU8IuvtmGP3Fxs2OULIo1wyd3NVH67R
fpy35A8AeUvijSF8qs27fxfhfXb/Gn4ZO0IuIdRjT672ji8OITajQKLgR8dta12/ULn9iO8b5ADY
94m9Mex9DSzfenUb+xpr3DtC2JOSUjDd69c2+MCAYgomXWC48txPe6le+3HfO8oBwO+V+x9A/vcq
btz4mi/9949nvofsfjnXTYAs4RL/wiPH8ohjQQRm+HEq/PjsR8obgqGfBP3jPNin0y9Qfia7cY+P
t/j7h/I/x2R/gsfTPCzZ5r+crmBAZcKGi361WAFCoLMx4mhrsb5Apf0Ibg+wB8WNX0HWZlvkjaE8
g4RO8RpuNj8SFHPXxU/LcNvNBpCF58IfvOV1Ha7Rfoy35Dfw3J+S2pJ4Ywgvmvybzu7sfz+UYpB5
8jhmjADTtRlDMeA9MUWQk9xnhF+i0n6Qd0Y4AOYdmTcG9DIv7+t4lf33gaZAcAO57a4JkIfXNj2C
3SMX1rqLIUO5fm351i/RbD/eOyMcgPeOzBvD++S+Ll4Ba/eIiods1SOUO5QnGO61r40pgTKD5670
ofrsR3hD+gB0N97/xpCF6ociNtmqeY04WRxxhgR1OX1YqmgnfwFUJ1pHymLL+3qZVvtR3jPGAVjv
kXpriEN2UsF6XtV38au4Y7Ahg8sNicgn1HcsuACfmyEgwTcX9TpV+DLFfgH8/nEOAX+/5BubAKer
9DXyV2CrYdMWCKqDHl47i50cSexi7omtZOWh+uxHe0P6AIw33v/GkD2BCsTXsOP8CHZgKBn6wXfu
CbA4XIOqku19+lCF9mO7eT8HgLsp8MbQPVvdQZ3BK7hh/AiqDKhLxFPWAlzqzRALHSEOlCbQXJsW
+3CN9uO7JX8AwFsSbwzhmyZb1a9hm2EBU4QJeqrb3OdoE+l5QJDs1BYcqtF+hLfu6ACEtyTeGMJn
qzou9avkHsURrFBYwx7AvH5tr2IIpiRnwiOwRT+8ttfy4Zrtx3rn3g5Ae0fmreF9X9zp29fxs+UR
Xpd5CvHElGwDTihkowWnVG7tymcvUeoXWO8McQjYO0JvDu36Fk4U+K9w6oIiLrnHnzjOnZwjgsWP
JeSb2Y+1/5wuObs/VK9fob0hfxDUGxJvDOfz+3b1KqdrIBvFiYB81ZMnth06EyBMMBSPMLkVQx2u
0X6Et+QPQHhL4o0hfFGvoHrkFVYyBXobCr48/osKfSjj9lw4X8O3ie3DNdqP8Jb8AQhvSbwxhK9j
k8aDbv77GDO8zkeCH/bjjNx2uAwVIhxIUReCqk0f7CU67Ud5Z4QDcN6ReWNIX0LF9quU54NDTbmA
8s6nvPPOWUh0JKHM15V0K+98uEb7Ud6SPwDjLYk3hvCHGE5gmPjudQy29JBL6VOKajesEpDEEgio
ry1y5EVK7cd5d4gDoN4VemNor/MEZ3Bm9zVKSR6CaCFgxT7GyDtLGs5GEg/iLraVd36RUvvR3h3i
ALR3hd4c2rc1nCAv7GvA7R25gkugNp8okR248RFADX8gS/3EqTyPq65XL9HtV6jvjHEQ7DtSbw73
dTYQjui/Bu4cnGyyPir7tMx3PDTAHREEBUdbcdZ6uR2u1a8Q3xnjIMR3pN4g4jOIu25jc6t/OMZ7
SmYhsfjSnhXCQ0gAv/1o1HfQJkcM+na4Ht3awtdo/9TokEDh14DvDnMg5ruCbxD2Y72qmvg1Sozg
VCUcl2YEAH547WFUiITMppSPlMuebf0Fyv0a/+1BDkR/W+wNYn/axObdxbfYlK9h6V0oACccODOw
AOvXDkkOR6jBtYeOCHvW/gtV+zX6+wY6cAbsE317swBO6qhV/W31KvlttjbvHgfibb/9h8wYlx5l
GA7mPbx+bD6P5zhgF3iZer+cB3uGOWwW7BF8k3PAh2zza1Q4QIwOp/GgMulX+RN8tM5+A7G+xdQ8
Yn+wWr9DfnOQg3HfFHubqNfNeIh39UK3D8paBMMM4adVvZM0g8O4xIN9YTuZ8gT6gVr9FvPnYxwO
+XOpt4a4LnT+GkvcO2JUcmhs9dQrZcfRe+icwxkUSWyZ94M1+gXSm/KHoLwp8dYQXve2eo3GGVDv
QAmBdjhP2/jOesZHHIJ68OW3g/aDNfoFwpvyhyC8KfH/AuFfNyX82d9xsrKr6UNnyGd9CX9/9eEB
QUfLLdGnwxn7g/VHxmx59+d7KFShEGYBy/YzgF8PtHG042fziR+rdFPwfmXsn+8dOOp3BIXEEk4X
MOhFCZTs+3fd/eMlSJJjcPgg7QKOP5zChnlS6NpG0L0SapS5gJQMJ0DvUEbhktHNwyWgAuEoAvZc
7CEOxxb4z+6dlzobQl38fDBPP78rmvxSx4U1f75nBPyG8vF9a31daJ4H4yAIKtc10QzGheu3qw/r
elh4Dv+nCoPedXBrLhDTn7piwLOWVhMHOoUokZj60hmDcFHkXH9xWWl96WaVssIRysvH3jdOWxyP
4dCodCxqHwXsc2pSMakTb/BLWCGzkdl0lsdjrNw6qH3LGj2tAtn6lTHdaZKM140tuKK9Fx3zUnyU
pliGUVTM+FhnSrj62HNRuKipWNq4/xx0PFJtUl7XOhoUd2K5wCi8LVh701N04uTNuUZRr5owwArV
CZ4NLi5V2TmnWRfPhwqPvh7lSTJkXwNLji0vzUnUNdeoDbNZWPHIbzqOFO/db7xOnYW1fanq3h1m
Uvf3XPN74clkYiLZTEzVnsmefimILo7LJtMKDpCsSBtdRbrTS1DzVhb5RerWyqOt8J2Ia/2pT4Zw
CjTPPMWBnrslX2UJmoU6u8qDyFGjm9/zDE/7NPSxzso5c6I7UXcfOp6GCyRjT+WtG07TbhwnSezw
aeP0FyLqqIpD8ikOvLOWBkQxgrUKsadVUXZcJUU6z9puSbn9K8ddpipqzbzxzMU4su7EQ8MnL0s6
77I3XXha2n7MVeaxWp5GTvl9bCJXBUObTE3SMF/3IlZszPp5Hse5quJELstqiK5oSj7iOIpVOVRo
QbxIjWFKv45IqDJXUjY3Dc/Cc2uL8nhEeS2nkZMuSldPuwR9wFq7ihZeoop4MCpF8ae4c0sVRI2n
qGOTCQ1FpEpe9hNXW6scR1+GSRAobsI54ehGODhRXVLfNU2/QBk/Zk0Bj3jIJ0HSfy7d+E7Q/DRw
klQVuKpUV9tcCadZsdwMfsLoV4dkfzkldRUOxXyQTKsyShYEhdeV0GbSN+PMIbRQ1ejNhiKd9ImY
FFl6ygNxhhsnVt4wXOdj8R1l2pu2jccVd4fWL9PQVa2T3GLufAHOdzZE/YcssqdD69y4TvSXzbL7
qE6lqhrnpOrrc0SDj32RnAxdDmgF5FOY08KP6uAm6MWJTeAJlSRkM1qKzk89eV4Q9jUQ3Uco2RhV
FmaJ3zuyViJG3wyTH7o6OQ/LekYCGSpPtBcdZh/oAPeSB/FVbfAS6rp8KAk5DstONbw7KR33WzjY
Tx4L/bBwz1vmXkTxuKB1rkoUVyo1wxe38bx5Ejq5SmNJfDBzpQorp1Fy0L0K+jb227j+Upv8mMr2
LKVkGaHxU1NEHjyPgPoV7ZZl7cY+TFikSif7YGL6raS5XIg0q9XIvTmxCZ1msfWmgdVmSqIgn2k5
LkZGYpWUebIsROn3Bs880ndqbXHBSmE9TVl7qRvUKlJZNGva4SpEQ6kwqhYIHgHYpCs68LOkkbcu
xzC3BP9IODujrEp82gxYtUMZTfTaxNXROGlDdE1kMctElChSmlyZSh/DeZJskbfUx5ltVJhb7nOY
b80YXmPEvgno4DwJiXeWtlEwD0PHmSUm+4AFrVUVptgfiPhGYpFOcZF5ivFyOlBnVHlMmAJLOkvj
5nttx+A6qcbEj2t8U8RtoRos4tsycs65btupNmAj4vhzF7UXtYwWuet9H3vdTW0RdCoqkZ/mVYn9
2LiOVNiM+ec8dER4NpJwUJa3esqwe+J69Y0cgkjVuSBqHPVfeozltGQtVTYdvwSt7JVozTduncof
m/qSxdl5FOIL6gZ/9ab5jpumgGVcH2cjmaYhy6aNda+adDxrpGMUR7WG+6+mXtafIqemqm4KpNwu
QCoemxvao0UcoONMJ5+S1mqVwlEd0Gb8ItP+zFTDp9ztrsouuYT5AA+hbz7mKT4f3QgpG8aZalEx
b0TbqF7a64IO55ibY9QnJwz1HwsiVcDcSx6aSSlZoTz4n55FYiIy3qvBZbDJ8ZioOLGJXyBiFdjY
SReXi6IqFnViRyVyA2aHW7BEdFAuDpjiOMjmvEyW4+ihpZN2yyLh0aSOdaSKwZJlHafxRGZJM9W0
LKYpqmPVtQlWYR/PBBkT9bzL88ZWf6vLoY7D6KlX988f/3Wjc/jnoe3zf365bvX9n5/m93pNHpnt
N629sp/v+k/r6LUX9LOP9JZv9dgv/BeO128vvswrg4Dp117Zz8aOe7yydRHTk1dG4KTI2jsHBwoK
Vvk6Sf7TK4NiGAnHtqnEYCjddX/wH17Z2vUCIahwJZgCTweXfnhlUA0HR4/gEOm6aRbE8i/yyuja
v9vyyqhc19aB48igvZ4A/Z57ZUXotW3WevoCoSxclGEwj0LHUzXtTmBmD37XEHPaN0TPKRrpXPbN
ZZGw0adF/q1mRE+MYxbZELlTSaGPeNhxqhIWVX4TsVElTkcmkfUcJSo+Tpyuzy+rUH6O3LH225pS
v0fjiRfQ09plC09LdwI71Lways+BF2p/rLyzsR7sVOi0XUAT+eMwT2A3YO7x6IE/EDJxBp7tx9At
G2Vj70p2Ip0UdXxlUb2CXjaF77nhpzaHvb2Lo9AvetH6aTue8UJ87oPU+JjSLzLTn3nfnsgUn3Yi
u3Hc/Mx6XenXXfSxqMFcODhfgHE7ESP7UBTJDIfOVxL3fliFM4sq4Zu6PC2F/gJ94s9plCcqcvt5
27uFgkmxsplnVNFnkXKEncZ8jBTus2xC656rIaiGqecVzbRt20EFSX5Rdz1RRUgXOoJtp++a8y4D
MxOOHZ67qZ0lvPrQp23iuykufIeMlzTgt8SWN2kzzDoP54qGxWXPOOz++TImuVWBMJe8ER+jKgjB
yA5feGxitXZ7JtDPJ/WzItYzCu7QpCBibuvxqu4LMcNRdtxj8BjGvFKeJR95VGO/zkjgcy0vklaQ
8ywQi94Dx+WcRUveJAp13gkfksSHXjSzWLRasSqexnZMppbadl433peI81A1VUFUpuM5zotCpbm+
TQXXk8QOsOlVeJZ5YjKgcDrYYRGDV6jyPPlW1/QeitDuOw3+elix85CHy76tQjWgNp+Cx80+UTdF
EzR4RIkghk5Q1XHu8mXm4jO3iWa1F6YznMX1dOh74pOQD3OvKbVQhdvYadc6V3HZ3ckx7WrfRXHi
o7qajxUzStjqmDkV8StWLiQHq6tJAH6kJ7wJUC0L4oTFXNf9KpXsJkZ60pp8iizyQ5i6MI/kZ01h
/44q215XDFfTWIb9NBXNABMhEj4eGzy1WZko6mYfZBtOOAmoonG0LCQ/DVqDVZ7WySQLE1gXImum
XlLiGa00UVAxj2ZORjMfwQZ3MpDiKnCiWxp27MoG+QevZkj1nNbL0sC9RLbrfGdspobpTIVovAC/
uFRJ3veKRuVlINzTKEdoUqIEdp4EHmDB/7IWHxt9FTMG8UrtXXpeHix7rs/7IOtUa7tjSfQdM1mp
qiFZ5SwvpwKCtYnTO+mkHGF+dG4FcUPlhpNodOYUHOLxLxLSu7aGQG1pwJWIdTX4VQDToM2D1TCO
4FgN1VkwplgV1LnuS7YoMEQxQxV9csL0Pm1gyZBCw9wu3ZmR1TJ38nLtoNFJm2U3VRF8l63u/LCH
eUczMWfwLQ5T1o+VcsrRqjasilOH9O4ZLvIbJ86r874dHJjzIpkKOQaTfmwdvwkC7Yc10irq2rO2
Tj1lRJGoTMbXUQ2z2WUhXtZZEk1ZAIj3QU5UOoxXOii5wiPFyuTt6JeD84FWdTNB8EkqGqtAOS3v
/CJNg1k7QAiiK8sW4Gr0LYuO0wHGamh1lTN6kmlzjQJ0E7ixnmDSHgdQ3DGl49jHyui6Ti7KHtdf
UumabspNwRPfNMlJ07TJ6NuW5mQWd0ExqZLYfPVkGLHT/x99guc7uwt1MX/jDmy1NntgPR6kfvgC
GPoArFskIk6IC92XYMCfvgBk5NZHHIBm8dbbOmzDT74AA04eQ6cf+JIR8CPIA3nzwxcgR1CG6cEJ
NuR5EPBL/BKGBq+3+g2CRnLgSSD0EtAdDOoD1gTOM4LGjlSXFYSz50VH5bTtgqhUmiYi9VPRtVfc
cYfjpG+LdIpQar9azdqPKTN9pYwsqs/Pnt6TU/mcL1qfk97WBjoiwCFr8HXg61X4lmPCiqFMZdS0
56Qq8HkIrE+gGqGBNunBVZeq7VjzVbQlBMJ17tnKr5I6DVUwGsF86Ddc3Elr0QWMETUTkmX44+g6
Hp4P3A3u8eDgfvZ7jQmw5jsacwEHkggUWED3JbT5/FgsIsB2sOe0d0Mw2/2YfWwZpFlnVgzAN7RD
j5NJLAJPjYIPsRpSROd5Ww94Urfa3kW9MRA1OaU7MfDlOa2yeQQBpajdNJyGOoku00Ye50ZGZgKc
v/xkouokzTq3n8bG4WdxHbX5/Pd3tQsDdF5G0IAIvr8Guuk/3PSzSSEGJ+ycMjPnhQ3kJx16GAx3
SmBqlEXTX3Z9La/LAGdffv+x22QhnNsCnlJQaB2L1v9aq/XsY13Uh6w0YXFeeCM+x2nUnBem9mMv
iD79/pO2HeD1J0mobAMSFIoixJo2ff5JZcGGsaojfe6ViK2qTtfZPLDeAEa7jKaoajJwdsGR0H5C
3S7/u0mznhTPFx3cJUHEhZYv0FcRrMPWxwsBG3tY5PG5qFJ3lSeNu0qztQ7umJspr7UGpwagn3dZ
1RFVpVrc20yaZScHdrreypFPu0SnfiKK/COtS9jvIqCG7kunLSfIGXPhu1KzeuFSPjaPwd/jN/zs
W6a7QAHpDGYDghH4jiPBwKY9f3yIN27huoEDlFSQr+LamlBhJ7UFU3QYivC4i+L0W+jJ8hR22mjG
NevXBEwrvlsBMb8/RKHwmU7a+xio17vWLSNx/HuImbsDMjDbMInWaU+oVHYFBGjPteS1F6M6svQs
YVUZSG9iZTTOe9tTObNt0/h1X6GrNh/cRkUReGE1LuaG1OU8YyXx06zKP5SZmwMfkXXh5y7J9XIw
wAuWblV+5Cb1JgE4GH6jkwR8akuTDvx4U5x3pWMuKmek0zDEEvy/MShyH4jbfOFym30gSXgZDgXt
VdaI6twG1Y0luUMnvCXwIOOBgG1gzTiuXerkNItc72uAGnYccQ+fjmHfSr9DEcuhufEQLx2vHnLV
Dd44wZ3rTMakvy1NZa8b5ACf2eVWzAJTNUsWEHJTRbhL5wFQmbEaozT4BuUCdavionL+anKRT8rS
kGWqi3KJK5ndxS0Qogr4svQ6lkANqrZi4TGQ7Y0/wHOYQw5CXlRd3k9ZV1czjHvcTjNoCxv6bRd6
ld8CnTbNDa0nTSkvosAJ0QRjbRew1RBwfVDC1+5W9qXPUXRCalleu9S680YmDpkZno8rj+t6aoBj
GWdt6oUzp+/Ripis+25CcPz8kVjUQOhE2nDW20TD4ui66RACPzqrdRBNMkshlIO3KjgbXmt40Hkr
VGKSxPFF0AkltNuPitks8Kl1inxe83QasmZAVx3FDL6PrEaZSmAm2Rm1nTTznor+lKfjmAVXTVfZ
PFdDnA1FfRcFESHjV9M5vcgjJWsw5fqWgC9ngZFrbNOU6NymNk/7YxlX47yVjQ2WeR3H4IaTTF8j
4dBlMlDa+A1gEIC/i4AWG6Pc8yZFEMB+aLO0q6Y87UIEcZnFwUVUQdJHL9JBdNFk6DNpT7mxFGZU
F2hsOr+BvXDGnSgJLlpYOjz0K6/0YMLR1OSzAgIjqbIKNq9gCrQq950AKolcCFBQAZy8CfLch7RE
F8y6TGT51ATgFczcIsxH3xtdsJgFSVnj51HtAEtmhtBcmtjJ86kOY++707RAFU+QJnYeM6/xzl0n
CIPjggorXODCelONw8LAabE6mpZhJPJpYNqxmsnaFPFsyHg+LJAxeem7ZMhiX0DaJJvXcRU7wKkx
8tkp8xFP4AxLmk/gL3IuIPUBlCCkgIrPSZ7LfElrabNpGln+YWwspbPE0QRDiiYCf16JiER2HtRt
WVzDZkyPk3Ak6awpQYOptlk4Tj3cj9L3kqHsznJvgKntwFKpJwHGzXFNXTebhAENm4koWoAzFgb8
k2JM6HifpZC5n3igQD6hQx5VS4xitgiBmeU+SdOKTmIdB5OxCVJXOV1dyssk6BLm07hKgK8tk9E5
QUHGZrgMgO8XkRTlFA/RqJdRjDvI2kgWdWr9PoVlLAuYPiGt/L6Lge+1fez8VReDhvgmhnVEzvFY
rFNnXsscejNkHWnOeQnE+qSQlYWYuYAtKTQiBQGZU3haQRzh4uuIsyI6roY862emc8f4BNvQ3rCE
uCsXQp9AeRgm76wB4oVODR9jUL7BST7JaAXsi9cF0xjH1des68CzSMKkvTYu776VdUQXrejCYOql
kKeEADuAcVzgavtZUbdAw/YlZVfGuvgGWwfe0XHHeL7Fg+inLcmTeFH3hAA/KkJDLmJHyE8FqtaT
M0kqMxeZicxlPzDr+ajqAJuoK0AxbcDonsAOJj9RD8HshiRWWk/gsHmvl9bIgFwmdZOmH4hXSLbs
WdI1Z7a3a+czGvpLN3V4P9VdDh+t9Tpw7YF+GecoFeubX6vegX0CvcocnzO3gLtoKhceVZTqdPRl
2sLSKbMwja+KWsCSrxvwCkK4BjaV2CK6qDAbamC+ywgB3F3dN2e5E5VGxaip+lmPBKLToa3I2mjA
YgLaH4MB6SVe+8m2yD8F8A0Nx14bQ47Pi9wU5sUQ8lVXUFCjr5PhA7U9MichuLnJiS6LNLn2YLeY
mwLh80qG1VdIJ3OIW1kUk2PthbI5CSIdtpOhFlUHDu5A5yWBx+ojUQ23aZa6l31jkF5UaGjTzx3P
Q7PIAyf/PoxybUPiKosmEAd4dBqTITKzkufys4MgAZN3ZVgpwcDMDUDJfYi1NScyTxOgC0lNQjB7
LoPtKCLyU504bTjNSAHLZISsj1yyQuPqPgeDPBx7GKbUtFtb7GniOvBE+3Zsp7DJdNUJrhvC/UBm
toWdlrYIXO8q+auWrbxxBnDTj0dpa3xnTQEpsRxj0S7jjsBQfY6j0WfdmogqARZgVVLJZyNkS+xZ
P4jsOmkN0GfCLFjet+5i7DiAkyJIjszLLNX6rOA9O3UsJMenUVXk7Uk4dGUE9KXJoxvwRMwdkgWY
ETCdplVpZDqjZNd6FewCQ3WdhRWOv2A9Uq9VI3hgw8fSUgfSnpUJ6mkknDQ8doKy+xaFyGn9TBie
LmOJ8FVvnGAESq4yQNGNDUzSeJ0Fu+zTbHTPc15mkBUsW8TPGI5Y7w/g3ZhpF5WAWucVcajqUeRg
O4zJprinfQ2EC/Hq+ehVMPtT1odA4gUDMn5QGl597twB3yRRDXMNdjr5CeY65DkKWWAwsKSUyczL
I96pvvlKvAbYTJWmrfjokqLqJp0bWnbGgsxrP1SBkUDhhTCjp2VMAU0IHIb+NKY21aeiLiN6SXrI
zi6DHpJ4Ku57JzxLa6fsJrkJwGaAN9bYsywLQP9apuHMRF4aTboeoeVQMVj3A+frFDRQc2cPXulT
lcmT7/xYIvE8v/E83XFI3uTsx3erbidONgb638uurPsq/Tq78uO7lJ5TMI+1Mg/9mJ6SK1DyAl8H
BtUkEJuuu/zAkD8JFahid6EH9rpJG4cOfBAR/Ce5Av01wXRjwiW8hUBI84NQgfac8AtgUiAlsyZb
5EsIFejBuxHcQbkIgkNyHL78ZP0tVnTNz2yEHbh169zReX4BKcNjirFiLfAAfVpMxiLRs9blkHUN
sjMGJmDmUrZADZ7Hpb2IGmdZZMlEduSqwEA6UnzcmXKVNpB4N5mfFmBWRnwaSrYYI16r1NGDH4nw
qxmyqzYI0inP8xUkmCDPHg2VCrKm9EeoxjjJhwwYd7AfUFdjCyCjI+AFtXcKpv/Si9JMSS0R2G/H
h/XwDUifGQ3wZdTrC0idJwpW55cOt1zpgl94bgXcSpMKleIuvmi4voO6k0S5fWT9MRLcB+cCL93B
O7VWLGmQ39Chvx/YeAZ1At+ywNx0Qwt0fxbONW9OuDtSpVt+4WpxnP1f9s5sSVYc69JPRBkCJNBl
M/sY83iDxZkQCIGYh6fv5Vl/VkVGnoqwv7tv2rrv0jLzHNwdIe291rc2KLJ8LuiDbaCRaYbXWbC4
n9CgdMQAUMG9a4d3h0o1V+Usz+Vcxtog6MHoXKAZrlD3dMYTVx1UrA2dMC2PottQOuv1YHM57OoL
YaTkRmLBuIqNkr+iSr+m03h0Rq856/bGbOxYySJaXXKFVxDGo73crgQn+qXNszvyZhMRFJXxPDnZ
E7S9mI0jeIRppqldqW/FOj5ow7RDtY0Sjk95Xif8dK0cb8wlW8JeMvXYOju29t7gD3C8fLt1pzOO
3TibM+3Ds5iDdZzuxFpG+OciLlhfhUNbP474GFm7bYEsjMV3ZgA+BcSiziNBY66HdsJ9QE+D1sb0
qrBZPdNfV/u28JrDPGc/0AeXfsHYvdOwW8Ny7cAY2JGrBiobdUUgdFv5EJRuDZrtaDk4R3Awwl/a
8t7L6u+eWeDcUTdKyB9l3T3mHF0XWETI6/hSKRShOeAGlK6sWfIAb9CNbWdYUANnAdweGetiDDeO
JniTielMqbTsKoKgtEZWP/70KEwph7UTigf93DQq4kRXR0Hxa7dVXwR5s83w00jv2323+IbnEn9b
1saHxKNP29o9tJu8zfToBY5Zdn5TGAS7P1omNdajX3XNwWyW6kgUThyvfy6Ye6QOva2nBs1EwVVg
kG1LVF2il8y6Oebo0SGGWq+6bu+8CTeeznm40u1sjtmPbDLQbEz0lmvvFm1ROgNK8EmW7VwJM5Vi
0ftQeONl86qLtOD4Vi4B1czd7JdtN8GDWd9ye+sD2ht5UOEX9Qej2w+TEZqSoa53QZJUqriCv5MU
m6WiVd4apU8EiIAp395w3r8NE7uHIHAvKxKOi3ctLUsGc745wWzZsJMK43H1jNofKjcS2xCLdWL7
okC1pslAcdsntCfG+ob7uu6dnkaN1o6P5sAOLcP5aS39qTKN02IOdVR4ax2Z6/YGZCNd9UCDBj0Z
bhcqlHV2XX/tmhEO3nyn3LkBgjeQJLNyHuBVUfg8EzCVecQKxL//ZVULvC+KQldCQ/W9yrhtR/Nn
r7AkHKaKfeO6D7prz30l4AIR56fW5pVrzHFfwj4FR+VE9exaMSNlDOKnO2bETJbawd3GL35oa3xp
WWM1oft7cVTVxI2BPRitKA+mqXN80I5p5rAlbcj61rKiSTi2RkcWcWuPRiCEc9oGcdVXtvIv0m+4
FvYdRKAZBnRz3fZmUnbOvd6wVzbkjuRwB5vN63yzcd/yXO81E3s0xAXgDpP51BwfDLaRICuLNqpK
uJodxaKWffYyse2lG9pb0TuwNisj1SUZI4UNDorEeKfh7IadxP21jSb07G4OZjerAQJ138quwlah
g0ZAWum2JG+F8i2nv1+z+VFaw1PXenZYyfHJ4ZuZEmsmoWla4rD15RQWaAOgxVXKb/J29Sti77q+
vKuZnWx6bMJMkpdZLqYPsgRdGC+hsUsLLQiDqmE9Tuxm7vdb9jwXB0fYNzVcerzj7bE01ENhK9ya
ekhY3ZwtzAJEc0P6FGLPT4KNHiUjv4bIgEfbMbIULgNoTDSKUeUWow+XMWz4fOx1dTtxK3WXCttv
sUbbSu5qyg6iWVHY5eOTe/GMzXbYt8N5YuCM6Fj4uZtfO6tdhFXDi8RqO1jmXfFE1i2pqq481ga2
/83oTnx1Ddhuo4Sms5SooG3b77WHu5WhytX5nnLPCHrmic0nTc5bfx1tK3WW5idABHGa68F3dI4d
230qGzUn3VCgbhwgZJyJMItA9LjP7rqxNPeAABQZ2EbS77Nh41fE7gBgbMaWZv3g7CZXnKtOeN7b
6Kxrsl0saqG9FnwAK2MO5EDBx7Y03WE32jP42xJzEP1uMIBYdI79WLgaO8TFEHd6IxVwyB2nB1wr
zJ/2av7M1vwbjpzSBxmYrqYRKrjsljTx1fEZe5s0oVyq70sha5/mIrHM0vIHSBnQ1dizWNSUrGQo
o7kVUUv6xofGFbPJKAJoxYccP7b+Nph74mS3EmSAAQjkXHTula2XLChGRSComg/4+XGKgyzQS7mH
2unGul1AB7KkRCcRUtut43oxZbB2pg6LShc+aefneli6YKnuqLOGrKIPirfXa1sOPtvkbgbw0BXV
9XQhIPpmicmg793G+Y7N9Xrgcx1UAkugAD5BjC7GBkeS2elwZBM4HBfWwt1IWrPB8jkwDJd3qy8B
hcKkl2vULQPWw5xXobgQHB3rI3VhOjSDl1401tvWW7UPJSNxixKbM1AQDOJ57oCGLG7lBo0yIgJo
hM7eC46WeJqt266dDnhyUxdQqd8CN9Fbr4OyqE4zwVELIKXIhkMGQIVq8jxfiBUKdKW3llNzYVnm
ghvAbEAec4AuajXrgBjVbiv2ndOdljyP9WzJcAQbIy6QDDPYw6in07YI36yLbxVQmlaSCrd9PU6L
N6ZodIeoXthJEa8OmMJGCCTHpAULW0A6srGOM6Cd8ULv5BeOh23sqZyVAoNibmF+oX2gWFnhdCGA
ppHrYHYs26eqBqkNdy7yti7tL+xQZ5bfXNDFgQesyNU9+CIYYUnO+/6oWuBEIDYPVel62JSyRFaZ
kXA1l6g5swEPF628zblng7FnhasSJpodR7Wl/UrbUJK3CXjd/4fd/tlWOXDY/nM7dvdHPufvzdjl
T/3pbmOGFxKFDsVUAeqC+X7vbtsXoxogG9w8Bwwl+qR/N2NAE5A/wJsBHUiil7/wz2YMr5VzbQt/
F9o7vBoWfNyfyN9fmmtkL35jVGH449+bMQzYd0AcAZ3z3Ms7g997QLLWlZZmaV5ZNu1ETLEKAwjE
4/cOqOTkyMU3VSZTIxvqoCT8MRsm4WedaENK3W+Dqu5cNXMfbl6IrIvpZ7r4Nhrmrp/aozRKiFC0
Q0ndTmHGpiGWNnmd3SWHjTT3B9W2u3bKA3srruAq7JTgp16uaFF6DqSkhDeybo3v9l5aF2W0zUbo
2kM4zKwJGmO7lmxE5VzMt5Y9vPAC3RmV9c0qUdY22rg3RNEF2VT2IOSLOM8Ynprnqlhf4QmMfknL
274rTb9rwbspelCQQaNyq5O1aayTqZ0LbO34JnEOG9XnqR4PXp/90Hw+FBZ7tVYmb5wFBVReZ6fZ
QR+QW8bL3NGox/uZ3zroyP4MD2zru8fCMn/kbgmzSUNuZlX1sLjGDxSX+CIVT6X0TmuVi4jgO2Sm
PBWbfuvLpo+nDI3WvA6wFqyWJjX6jmwRLToa9bDq7Kof51fFLpSuax0Xr00GRzYQo1XtY7uPPYD5
bUavpKWx18xbOs7EDKAtPpYMjdtMT/OEbWzwpqD3yptamU4w1cvR67fj3HtmhH7ruRDUhkvVln7L
5WPbr+hs5fBMt/kwsxZFea9+NV53gpyaH4XMzxwCaFgPLJr7cQjIYKV9BhK+b/N7q+p2phaXQ3Hg
+5mNOrKY+FHn7l2ercko5yVSjdqvcB1A9hg/F0cfNoY8Sjk84d+ldYM4hzN5XtRYBWCtcriu+7I6
8kXds2NDLr06TDqG5ykUNqwtd+x/KdKmpdslbGrhDI1dHuN/hDnbRroZlW/KaQIM39+RqUtKKl+c
lSQ8H3Nfe/TQly4PhqZxwrpWN2Mp1rjtZewMWxVs2RStAn0IQodeILfupHnVgxXLhsiC2GvlzUFS
J674uPmSdzeOnPelANosuvUMTBx9XnYYNoowhVe46/cxb7onUQ+wq3OuPJ81tXtrabxIA6EB6CY3
pubtLbwjVSUE6PJgm7FEsMUfreyXzJefGeVmIJoKvmHr7t16eexZ922QY+vrprlxc54YQt6gc9wB
UaMBLOxQL25Q2i7q3crsYo8OZ2JXDr6cjlrXNZAOKtNmWJwIjRXo/srdAii3KtCFCgfUEzZb3xZm
he2yvHqZF5l8fcCNFr5XGru1MI51KxIhod5wNKMA7vOyCtEIp6UCXO/Vub8gtQABZG/r4Ym0XSjo
moeWWuJJwYCzi/LoFq0MBhTXfHGTmTO4PQo35HHoymRdRjSsczCpcVfANENfA21V9aEo+LMqkTbp
O3GcNCfh1hY8XhQb/U3WKW/Nsz3w7/3s4CFYg3WBXyQdHtp6PTljuZs7HJzKMruDNc+4t0jhGGM6
9t33sZuuysUL+9K5N4sc6Zq1O27gNH2YF5Ej8RSayN+0C+ExkeYdHbOfLWQK6CBqN/DcC3p3SpFy
WQKjpakDoQmFwnQQqOjKgsKBKKZAOONpduvDYoADVbIKnNx7qWxQvcxLR3TM3Wom3B2vCzY9mZbe
Zc6CmtN0I1kC2BVLbaAOa27tkQ9BsXVXjgkcNC/TChugLqZzxrb7FjRFaw03mQWDrp181lI0E3wN
tw3dI+si2yDwbPop7Jt6wy5sx5wOB7PeYg/Br4DD/Wq1eRGuUBBb46tdoKGfLWrvCBoNUq++zvMb
snlH7iGKs21GgXjZvDeZDNxmFoHUeRkphMl2dk7HhIvl2q6MWFbrNcbR/7JRSNdKhz0bor7zjBjt
eR3MxnC1Dvp6cL2HpRhFoCiFm6MojxaYxM/SztYw19Ovsh8PYjEfq7HelUNzFBxWwdgVt+NmhVbR
/aL5Go0j0WexLDGMxAdJrM2nk3zEDhz1Nb3pjAxhLpO/GKx7WtrlMCuwPj1wgMDWF3cNvjzyYmKh
V/mcH5xhwDburLus5WUNyaNdnZT1vXycKmOWITFqEhvbMKPE86LKLHYWlVARZ7WFSyN+OJM9hpAA
oYVBTePbdkU6ZUcoF3LkWEi8dMgrZHb7yx0mGfBBntBWYbtclzoUTfHUlNZ1o6xbR9ZATxvHX0T/
HVJxOJh87xrrVc+W3WZh/+pcAi2H1g/LajzqpbmvCkv6cLxCXRUEYar5apIMJs7m3W21Rqc8luNN
N5RFRCu3TJ3aRPorm9QSKGJP4vCunvpNfWIhkavfg0AUGA20A4shbmmbmFr/1/KkbzGMYeU2msE7
5T/TeLpG5sVXAX+7v+1Pzb6ImmBIiyNN5lCkTSz2NE/Lk0j++Bz/p12J//v8Bgfk1ScF7vuJJr+p
c/GH/6xzYTrg9jiI2TrcvTipfzUdXLzvHEInBiiRdxSnTf9BCGarAeTkwNrM93Wu/Q8UuHjdKl76
9UcG1/lv1bkflxGnqEAtQKEWDAeMuv/rMrIFMeZhVc5ZqNetPy/Ly7uf5Tfr1CEfiTV8CQs0FZwT
D6Aj6J2/XmHMemfI6DKeAZFElqV/rdpBAqC8pd3wC/YoIrldEQJTbi9P/85yeQoXNRpdrS/dZ5M0
s53UbpcavXlfAsZ3ev3DqMAgWfw40g5Z30HCQRbVFZkIlUd7Glr7ChZhA0uwmLA7WXZARYsT1Yb4
0/uzSXd47rNfMzVPtg3vMFyxTQDHL6ofrXURFsEpRE5vIdhi5sZzWRkq5NL5PkLMiAfs3YEjwVIS
Pv+RZL1ytWtEldc98y63I2Jd8nqOM1+Xy0x822qGmHSQVGHCH6aueIXSesTr0UPO1Xqc86lNq7pJ
63rYwg5EV0arBIX/yRO5jZxb/WqYM2KfzvJLSeNqWFAq9Grb4hGKZa6HO7dUvmHqnd3yV2kaoJXG
/aDNJqDjerNIb19uCzS/rQvJIPeoW94yMs2IIZZpzo1wlMXbAEYHXLqDI9pLkRS4MoDa0RpbR2a9
gEPZ89FNVUuPTt3SsLOmU2VvIcPW2+k2ZWvr+o2D0rnYhnST1XWXNSgtNnEYCvNF4wwNVqNEDsK5
HyoifWuzpW9vzl1h1w2krkVEo1fs1qpFl15S1BIlS8wWVWzD5Ovo8Gg2uwD3QoA2G6YYCOR+QT/G
nenJaexgFvTMevbSD9uVLJxboSByAjBMXGc6AXjYNeu8y5fySUwrNDc+p0gcH4VV3THSKH8oqyer
7h9J5j6xbIybju3BJQEW616ZMyC2MKA2tPuXBl8eNNaSGOv2Q0IXX2F9dBkNbbkcEfzzfFAzKHnX
Gn+ph0PfcTM/Z+4rnoK4LMqXPEP2Y+mHMjbGEcum/bU2ZepBHHNs/Tp25othmHe9CwtOZmU4LTww
afVtk9mNVAjPijU/SoDLCck1JF7DvRdgilqNQz4vcuiZSn3jBOa0ocUE4cSlJ2/pa8j2lziVJlNI
2V3JnecRtCzywjC70OXi6SnnO5OUB2PU3kWGRxOLpC/iJ/R28WAxjOtYHRAxlZc0SB/xSkNZd4oM
fQw754PFogLqrcm8PORt5n0DKzVFAgdY4wMCHPF8d1PWB2o1shVF3FScl65gx1YzE+UuPDAblU7Q
GVLC3GtEiNhjB8TRMKNhg1gGmFjeNtALBtBA5kEzCgwFyO3Qdgfk4K804N8d7CDHJzayFcRq+5R6
XhnlxXhkJJ/8Xuo6IRtNMkBY0bZceiin0kCzLjkYVVRXbmVWSDUZ/Q1iG3mQZfo73dbHLrPfXNmm
2N9OpSA4YAn8xbUyjpm0TLgshCIHShdgdY26a+ho4FF1s+pplPXtPEFxtyx25QCcwc4SdKUT2qgs
QjAyB7d1sSESfGh3vqlHOw80+iXsUfu8zVIATxG0/gBZk2NVGomg4mRW5pOE/2OP5n7mCHbWi3x1
yoz6fTEEs4dGngwmws1O4X7DaAELJSUwDURnZnUviZrjqbAT24VrBfrBC4S3yWgriu60efJsWzqV
vL8hqMaDqu/9Be6Xv800xJa3s0g2RrnNul21Tg/M0PfKUgF6xLFCMTaKaJ0HxbHnjPvZZM1r7QwG
9l/jV9sLM1xHDE3A5Zywg/x51dgV5LpVotCfSjEltaPWBFu/eMpaXMEaq/taQYYnOD3349qV+6rM
zzWnDCSK7e1GIOW+07j3tAXs7DuIGKIZ6dtwdbIsBqB0z7L13qvp9gyCtgiqEYoBHXPiu/MSD/C1
Em1OCF6tbRNU+IN+N9HxGVowXDdvLbaLeCJwKokhdaYat3jWse0p8B2qeWGT3tUwVxcX5XEPKX51
97JdH0xRRlMBsKvR4mGsrHsPDOYBhMm0a4yyC5usgqQ5AvbVpvmC/tIO7cVpn0emSagbhUZYYKHD
x9A+UKRn65ITziy6xN5o8KAczTX6/Hj+QBxgLO/lpdAoNTjsaOAPH3BsSylme3lZAyotQ3CsO5jG
N3PXf4Wt//46EPvAUmOy/9+KALDbSuaiPquqOvXMesCudO0p9YrtsgOADH+kW6t0WjQifDLtLXEU
k+V7Vn3ATnWkGZQDLm9ENt6y1oxsAVKND/AXsp/NyCaQphRjH7wzM/O3/4VfCBPqoTc6IN4vb2B9
LwNSNTbFwCXQbJX7+XpvlhCcmn/mn4Dc/F5t5H8Fzj0Mz4TUiODCRexEFPEyCf39VfpRYhSERHoF
9GrvG8zZwRmEwpa1ODemiUaZMT0jV9Hc1BxrkJu72Zsdv1k1NirbvNlKFQsk825GYfO7GqfS2Exn
w4RQ72DiB7BX4G20yc+FUeyXDELRbOG5YQrzNlZOt1tKqjc5VJgTkBfJNoMA6QmLRFXISA72d6Oz
YroA3MauhASqw0ENtHYCKAucQg5jdhVs127Wz8Jx3xb34g6bCKK61WndXERSkAtJTTKXJ1Ng3Ma2
jJAEyVCEgmNKBSnyx2wk6r4FrBVykh+pumTymB5SRuZoanDEEch0K8JFkTatK2q6NeJ1y4VAro6Z
CeMrBoaww7744hkwJd2ZpGvpQBEAEVzrekOz32FShxluDkqPBY9Z6ObwKRdDpd2gKPC8ZT+a05ss
LPF9rWhislaFbiVOVrNV4AbauLB7DjVpuVWMVWc+Ep+wbTm0bv9P1Os/Lgfy2/WAB9LDcvCQB7cu
6+VdniWDXYuEKOQml1hvNu9VuOmpOjOjhWTbi9e8pxgU0ouAsCX0CgyjwI56wq+yASqVbmrl/Qn2
nj9v1ok23rPt1CLuFW3jcTSdnaIW0sGFVJBCJ6hSjaNSC4d6OIOtDb3OQD2CjchUTR0UtL3LFWwo
ImDdbfPY+4NuMbuljQHYf+8a9sYRXwsm0iAHoRD4tVbUzlCp7IGErAFO2lFD+t3MnkuP7ebM+sHc
RaKpxzbAq5TVy33GoWNNXdA29h2mkmCFaDTt1h2dMJijFHdtQW+VyxO2Ds+elAiL1I0ZsXZELdhO
EbTe6YI+Ct8ugUBkFk4OZrwZWBOB5vYLsY1nIqY2bJFaA9xoxtMGCsZYmog4XWKa5Y7XU2Qh0IvT
KHQk8reeh/g2crOgl3oc8zpAnPzenvWZewsip+ubPZvfWxvjmF0WYZDKSY51KCd51Yjl6NYsnqGL
Cjh7QVG7gcWLG6kNuUPWAgMx1ohVWag0CpqG5ehL8DBOBr9BGuAX1PoMzq8ZQGaLh2GUAetBuubQ
iwkDmG8nhd3iLpFcRU6+wS1DhSpHcQTNFAGsemqawc+N4poKx89FE1vSOCic4mLOU49UL5PuY3i9
NVBXB3kKnJpVNscDjve6g5g0Gi3SwtJIMHTnsEEidDkojZnkc9Cb2HQ36CwlAaaCmTyZR9K8Hg75
3B5rj6LqHSqw83rW6Vq5eyfHrBYLbgV8e9wbXRCkT8pUgIA3enQJFYO6Csp/dOsgm68ZRfAXiIJ3
hr7J1rhx0sydnrSJVK0yT4x2XbRkzrEUgFlBrWWH0cL0op4SErhlVifztIUadUParEMPFNNNuwlV
iAuJFrnuKZqyjnxxtP1u5373pNqX9vfdk2oJvpZcS+DvOPen/qTqBYlD5WfzlexOBB3L5+cRDK53
us8/T4r31/vQTluYQIXuAjtD0/wkyD8twByOdf48O+nnF7rES/92JYaBntYlWQej7oPCNPfD1Jbm
tJw3grlQulj6oMise9rngMgbA2sOIxC0Lky/ISY5ea1HkfluMCiq3GCP4O8NemL8QoL1ZqltzNSx
x0ejaK4a072rUL6h6wmG3rpb8n6BJwJKYSheMSziyRCVvs1HOUVUIFSh6HigcKNQWEQrMecAJV4C
H8B9QrLyTm9VCCVlP9rDrrCtA2Z+7SjSQgD0Dx2ObYDMB2nVeJhgMwsvWDR5UrqLiirbzZr4ZbV4
YD/U22auNEBa66VdePdk5ReforfzL37Vv4Y+/3n73v+oF1nv3XKRzKmLLvOWs7e8iu3b6n2VXfvi
pn04OEyjQo2cy/VceHe6xMwm++GLZfH5BT7mbBVT0pSYy3Om1nXhEB8/kynW4POL/FXc/PNX8jCX
jkDl9NiHpbe4PVI1Dr4F5jZZw/dhVqhJHorF/eJuXEZUv1vjFCPuwIW4lOCovcT8yIcLrWVRg3jT
1hllzHccauF9FWehESHVFjz5tf+0Y8F0/HYLHudxid6qaP2GJ7pP7d3nX/gPN/nfcu7fHus/Pui7
dcGngmueYxsZ4ik0AzNa7sZE3YiYRzyoupgk+J1jDNLwTV9EMKamyDnX3z//FPSi9n38FO9X52Xz
efcp4FNUntXhd39edlbk+kPMr13/qnd8ESZPNDiyUCX8LOIlre9oep+FebKk2Pf8LUHGug8hnYU8
NI5jijzklfAx8C4PHxt/PMNbTeiO74CTpt2Diu8+/+j2Vw/WhwrasHogP0aBdeljMlrc/9Sxvidh
G5RhFoqwiOpY7Zvk+vsxGnc0QMNe7kuf7zF6LMDhgzyc/yMLHj//VH9kuD/5QdmH06FAKrtzGT6V
2HFfBFuqkuweM6VkAGuJ+cjqBIDnEu/cptYrhLTo8+tflu/fL//v5+jDboOtxlh7vS5nc2sid54P
myHP04hhFJ9f57KrfHadD7uOV2CK4LRV6xk1NZL2380lndm31Y5aE/atjj+/2u9v9b++1cdm0lDY
/GlbjmfhSnR+tzq/+d+7wIeeDyMfK8YUGihJD1YJHZC74edX+OLGfAwYY9KIV7srHrRGn3tAxdp6
3jBK8POLfPU7fdjcelKB1HTL4bxc7go8Lb6UX2zUX32PDwtsbLZ+rHu1nudpASZ3RjA12NT159/j
i9XlftiVWJYbK8Q5nAYL4gkcM8qq4eqScHXXPigBC075f3Fb/7ED++33opzgzcBw12Af/nUj9GzX
Bq8zjGdH/epKwDkCIl/y+df67e15d40PD00FbM1oEZA6UwzLMcwbpb5QFb66wIctcZNqscumnc4m
Nm2I0dKuvlhhf5yPnz34lwPl3YGB6KhnZRXWMXoDvw3yPdD8E1qEYN8FIsqvRl99YXx+mED299rg
8q3fXZJA/wM3I3BGPUMYrrGrnnJc25/fEHDfTf41ZuXgP/g0UgF82hvDvx2iy6l+/dJe23t07cIv
MSDKTzGzMvnq4/32IGfOvzYn9nHlFN1skgwPHbm6HOSG32MmwK4mgS8TJ3yq/T2CFYdf5jc0Z93D
epj9+Yvdy7psT5/dlA/3HbgOEy1fUUuEU7iF4J0tUNeHKrzlZ3a0kzF8seLMr6HYxl2iEy8wvtih
v/oI7odzz1hGw6lnPZyNQ+MvyLP45Q8ak9A9jD+XVEfq6CZGYvzKXzDSLZFXeVj+/Pzp+qPx+uRX
cD+sE4mxRU5fY2l2MdgFH3mOS1W3k8H9tFt2u+JStJwxZPXJjJtQxTpxrzFJMxwjscNQytfqi53S
vjRmf/s8/37c6YefxDM4vKEaW0obOQlLWBUu8RZvR0Sg/e/5Lotl4O10ClHvuATuQ4QsDG7RkMj4
rggvRcJ/FQf/r1v30FKx4P+zdf8/qjf188fbR9P+n3/sT9PewuvLLi8LhyWOcff2ha74V1IQ3Cos
Bse0bSQI/4gD/gmn4lVJ5kVSv4yrdgCg4k8BpvtjOLb7D3TSwEgxvQ9KL8cD89+AU8nfpx25iBsC
cyUuphMgrnhZbO82QW/JWz56Yrwqi0HvvYo7p65eDl5dQWsZu0ek+TCta5CAAt1q+ymgwhk344rc
TLuBMMQwwRsuNLI9cr0Zcmff9KqJL1EpTBxboddKYiRFNcEP1iLOMR12B2UKM+k08kNIEuci4FOL
itrV1Xi35vqFC6SpDAbl18WwALhWVu/sp8XY9lTXkFuDFa7KfqxkuFoZhlcb3a+c1xumF5kZ0gEI
/wgi+a4a8+lRc887WAWTJ8+uMSakuNMjxstFHnD1WBOvCKcOSq478Tps7A3oDdgc7HGYHtwRfpBu
N0RtTgI6WANUa332KIJAk93weKqQ6AOyi+kDokYjMvdn0gOp/Z/sndly3Ei2ZX+lfwAyzMNjBwIx
kBEcRIrTC4yUSMxwAI756+9ypkk5VXZbPt96q7QSKYoRAT++z95r93X73IGXXpCbU33ZmhKfq51c
TuR4WA83BEtITYO89SFcSoQyXuFNEmsQ9bo++Ygn4b4saz7Gu9Zp0w34FEzqqTQOQTd8TQvrzs/1
ejgS7NH628yo2Se2TYj5zz20ziLrOxcDUrdJB/SujeXF9t4ygLCSJnE+iniYjqqIeT8Ae9uuVX2z
5PLKtZuLukyvWt289HttB2X3QqvcrVhJJbf1Rofd5mTNj6k2v7LBeP78zPxvf3g4usEI888Pj8v3
rv7rk+O3r/n55KB+3EW0QGXxSBEyOv7hyaETP+bJoBw3pHw9zu2fTw6HUnMMWwHjJqODp8zwP58c
9hfyxaDwPQfOM4uof2X3+bxY/H4KKcHDxWIdBBDSdE8ZyP784PCMJtFhD7BYkB4gcwDYuGcxQmy9
1g723ui/yjiZdm3jYLnmHW1rAMT8YQm2Xmbmz5kJtwkSjxjao53JpmIpmU96BJB78G4au+umG879
q8Yqsnutm2Aap9bqQVVe5a1fpvmLVTrrLWiFhAVsbBpRgocGT0Atymxr2mu661spk22rtk1gh7QK
vrbRA994xqeTsxaYgTfP69YaXJnJnVnPmXFRVdMq7pIVg/s+a+PcjHqRdPvAAhiUeTUixdi7205M
+Z7kY0sSKTb22PeMaJqh6JCZ7B7WMR0M9t+Lu0aWHNhfLGawzlE5WG57brxYW6PabjSJS3t1z8Mi
U7FtTOHeEYvFyQ/nO49cSA97o0mL/o5pG4o8n9LyesbIbe5bj/8GbSOe1smG7dRA2CZrOqfCO7YE
6PTovx9R/bP+gnP1nz+iwFn7zwos2f/tkCdhz9f+/KhyyBOSJ5kXqA04h+kfPqrmF85wsiSY81yP
VpzfP6r+F0OnRQXfHEU5LBq5tv38qHpfkMohPypTJp/vf4cD4KHwp4mRz6qn+HIB3xMOK4PIXw75
oPJWtlLOeF2OLCXjsGsF8PHZsC/qFXBYmLskHfIEZO2snfya3G3uVCMtA+42rTW8KX1+Pyf9ZeHP
d6M+n5aYDoKG8PoGSAa0k2y9CLL+YeL67lXWkcQWnFPsvC3dC80803oxuNiG22O2AmqtMIRMcQKk
3AvmPWmuD5wDmE4+z5qswNiA/B7RTNFuVp91bJ4TplZu6kCmz4sLt12W9hIFuA23etfc2y62H1R5
k2gKQZdmRSGcCEUm5Ea6On4s8aRjLFrCTqX7sunNJROfxyxlHcP73uYe+H43e3IB1mzALB5RbaDX
ZN4GLNOTm9h732tWtkrWLmWhyQKXFac7OttR+Ac5Mx8t9thBM5rfFhG/VbiIdEF8BFzyc0aZRVjZ
xb4o5iMuvHpnzFMHdFETUNmbH4luO9vZqJ8aAeLASkdrGw/9uxub6xUpndescVhNORn7UMesNmni
RlrtG19N6XVbG6oYS1X4M0LOwX6aikvDaUe4qgCuN4Po+h10u3C1vYwlrCd25WLpYYk5I/JT8K5J
QPBnwK52XnR/3hYAIXe+yJptXGpL2PNu3nSySCNWLbBOdDxatS6zS9DC6IzB1N+Zzrg+TDzutkJX
XkdZ6ufFrbzdOhXFs+hG8yLzPPdplFVFDshob1LXzI6+0c2nNojB4y6luIDmQw5Ss+38FE91o2BW
82noVmgRa6XHb7OfaT70Fa091qZ+W4jAiNJ0ar7pC7/4fcwB9QJCIfmwfZDElZqnMKIOUcGItVQm
kFA1dY1q/pIddyQGsn7BBM6A1jKoSQY2XU1uWjtcdWqWi9VU57GvIhzDpOepmc9m+LPVFNhWOowH
NRcyIEJBIwihZsZaTY+umiNXm5S0ULOlp6ZM8Tlwmtmd99sEyiwq1FRaqPmU9Il/dEXJzKqmV81n
jpUMtLOabEFtbZWD6Le9zn/nLTXq/PPD/PzaZf9p4OKLfj3F/585Qry9vJPA6mK61f/0FOf2Bp9Q
FZczBakL1O9PcTWJ2QFHDWVn+Pr+zVXNVPPjH+796inO45unt2mrn4Jv+OeJC86347oarGyMxg+t
VfZhCehS+ScwPK/Vzm/dvUEpj7NoIX7Ph0pgUdWHGVEicO9z3z5boj+S1Yna0Y8huXpVHUSZ+igR
UjcIe+m3iVZ3x37KkoDKl1x7gwQIRbr+zB2w9yaD4HzGEVQwAfNpFlUqrKCr2AL2qbtJBRn8cbmm
RMnYsKzdNulakNAR9wvpB0EKwsLZuNFVMELvpqNLUiLN/AuKQragt753cFgIGMI3oCynIWNB+P3B
HCWhix6AdUwOY2y6guRi/bGoiEaKhyBWoQ1TxTccc77GCf7aljn9OeyJtwtZDzyLK7kMbKMBWZBE
JxTSiNTYkSTyYJ1opEimWYBbIFdiDMTFOUYG8ibr4IXMuB6hpxQMhjledmPzmKqMio0f1S8tnkYy
Yuf7UGSQMjtyLT3MjlEFXYx4iqpGfJi6scWq/TUg/MzVsTo1SXU0quWhIDOjifFD75xlq2sL1g6k
aA5TgnIaIFOO0OLQSq0JrRQQImm9bWzqQwin1L82l2YJ14W8Fthz/JDgxfsAj4nIcUtV+qIBrwPp
VrOkDpnfv2P3hXJoLPs+ZgEuZyOsffOIjf8wDN11XHY1rNlsOadt1zab2nWHat87mLbIOkMs7LtQ
SgfYHEYfS5hQAepxZ/NwLjCjF+Wscf7O27yeXxMXvzbfU2UuuVTTVDOlkGdSS3vVuyQPsVFYG6Og
R0YG74sKZQL2xWCsy2FnDqlLh5UFe6Lu7vDV21dmX4lLw0wghHh0Uq3dcEjHmaekC3ujHL2tX1XG
vtayHrtf614RN997mn3E3vSgOw5cI/NhGnvicKnUt5gEjCsLH8mpqQUdPiCeotRBUyTBqoF1UZhD
UBDICIZ+1cyWeZvh5DlkxbgPgO4vU3JRAcsARmO+0pLhbIt6ya7JEsOcIYG4+NVu6OW0NaBwErav
3xaJaWbMnkQC7pAQUZRQNRXm5VJeEz4GDPP/oyarZ8DvtzKfsRQ5Sd3vmBrVRfAva5TGmsei1ALj
uqxAZP9wnO1UHf/w3Lz57Zv9EZD9H/4KTIauZdPbYcAvVsPmHxSjpUlmmWdYbwv5NhQ3S3NfB/8r
Ke78Yv7Wt8fp8M9n1P+tXn+I7j9/1a9DiloXYjCmA1jD9B31Av/SE43PfJD7CST7k5zof/F0TiHd
+O02oWr4fp5R/hfToJQdCvVvFxTv35xRnHx/ev99nlEGTYCwrQ3o8I79l/efaOAqOUtM115p3fNw
vDMlqW9b3hYz3s5JFQokOjhgwz7ky5JvK1U6EKv6gX4eYigqTYtjbcLWTkuBbkNoSBtidzjTXFIg
xi2VJ2QhAr5X7YkUhk1jHIOkM7mNlHedqkNYa+EDSpnPWst2GtoFFAhVn6DNTrz1VKVCOZoaQYyp
vdLpW+AMcM7euNan3Pw00TExJrGkv041NUikQF+VN7hpmmzWrr5PawWzUQ0PeiePyBu72O+TSBJo
BBRZvcOafoDTq21K0zkIS7vTVHME9tvzugIlXB0QKAHXp5ZMTYiQgFXumBsnQ5VQpK+dxXM8OQgR
J9tpHOBuq9YKFrwl5/FcbE0gHVFDuQUyBQpGTw0ctRfARsgM6/yDCEccyW/eLBoBAEhJ2noaaM2Y
bf/Fyd2jUHUaweKQlaBho0u6m6yicoOsN6yy2bhGvlB1HEOEjMRLYqHs9Ekij56q7yDZ89VMJvs2
oNljNutbWfvAN1XpR2ZwnJoqAEHilkoQtxuiJhasy1RhSFwQXup0/2TSJbIMmb2Bg7DN/ZoqGWAw
+krxSGsR9PQlwrIbwHHmzGqjRFWVJL1uhTHtJYkGWIzryb7V8wsaGO+hCb0aqvSkWopNr/eEHNJg
K8wURyhu3Q1ZjsOkj2bo0pxCNaTk9WuRcqo8LGKj1lGZ+vrOjynR8TugWIW4Xu3ue6aKDc1Ru+EN
/hqITHCukxJKC+OJ6O65U7WImm8D1J+sdxpy3kdvWXZSlSi20o8BBTlvFczADYgDcreoz3ReDHcO
TtrLytcvxjx/buhnXFVRoyNSYmnaqV0Wwq46pTW9qnUUBX1mXFev+nzl4zPep0n81qYekAYLCHOu
VXfxyip5NofHlt7Iou1xZNIkibpbYuZ2mQZpmXQT51uX6unFqAooC5oo+Z7TqUUKgMkqRNQnbhd+
8nfHDpCyEagXb6YWRXdjd0vr16MUOYVJKzdsKev6QpoDrkQNzla6ZO2mlEyh64wSleiqRDNNu5uc
IXozEcKbVdWmP1QPvsmglvSYfUbawKQpKE9UDWFxCQBDqtYwXJbmUaomMfHZKWYOR121jLV+evQ+
e8dUA1nr0kXGY7HHxAnXWfWUCQrL7B7yAAVmuVh7yHOYAZsSPMXq0HMGnpfGM0JA24AStN42ACzz
PzTq0XIUCBLX36DjXTrdcCGoUQvs7m70KDxaZbVPtRhrdBWvm5rytZEStowBFmZXelPZw22RTA++
qmujto1RBWAD9RCbiko3l4uvPeuHRcr73ld4HdX+pgthEeyfTwXFcJ5qiKsWX27Mbj7HHZNkvZQR
Kb/IM5sLcyAvs1A0Z1M4l1E8B6f+Cqz+DWpFy4At32KSkBsK557KVFrEcoA1wBB+karRLlbddr3Z
3IvUJtfeiGgsedfQo7AUD9aQO4fMdmuYN6q8JRUQwFWdy+fJ9d9rplq3/vMRfv+evlavfz/C1Vf9
OsINeDWmyeEImAZNjtP41xFu0YpLNIRHC1Ffgr6/1EJbZ+9HRbqPI4A6AXWZ/HWGB2j+5IL1z9YS
qOn+vznD0bj+eobbLrKj+ruICyBa/mXAo5/R0kt+jOsxSAu5zS2LmjP9kNe1xt4tQUSnhs3RVGPY
OBzniQZJLonAAsfgonfgiDcYbHdJTmxKE+1+yCn3rA1aCyH1RfnQfE/MGSTp2g9zvHddMWhbSxse
JJmurwDqp73bufEptRf3mM/e1m1J3TZ4+s9knwe4YCYPEs9462P5oaOWHZqpvurM3MjoBZNFlM0D
qMz51htz97ZtqjJMisnf6iX8xc536XwNoBwm4KEIrDTBBiNq5M/FLk8G7WDkXhzlFeKfP2Q/jNqc
6cAdY3hqdT7CFwB8kTRrvOm5IxKsrI3r2MwxJgyUxPRpUB88cnxgDefbNSvrTefpBn9LRsUn8JJN
Z0FNDqzpXHrxdS7Si7k2D31HDVNfm3S1We2lm3AjFf1IawvJZuHIsHDF5ajpmDxciwhA1QJmSwkt
d0MXEQsjNpq6caT7miJ43UH6P0Dn9o9Ou950U7FsSYc9Wq33XXTiqkWpZrWZXqA+3zh9fJ+MjEwT
kuRYBB9dYx/1ITg7LGZZXGpuCDHSAxMtnvKpvHDr7HnOexkugfYxJz7RoD7Ysdx9cergvak9YPJQ
ucO87n2ukPxaxhK0h5Um6SnLJh6QJAhfaMq68Zf8odA9CiMq3ItlTY+MhqIIlYbYySrloztSD+XO
oQDWRb8mOL4lyVKe6+2DAKG6q/QSnK3vJlsaGe4FL31ZmpSbZSNjQL0aI/wfjbYse7hpJCke3Zvy
qFuH7xQ8P42gQ6uktnexZfxo4gJ2I9jYi5pG4VijNCepvXHnzlYcEnmEZ8/bdT/o3Kvpfq4Qeg2y
u41tHbUhCPaJzzhh+YIPgvA/FhRzm3uR1UyULlDqEBk5/WNsmD6QNl1+2qUK+ew3IWTzcpet3sZN
Y3qou4BkUsZnBF40xQWCHtbYaENEHotQ27hPRhgyqT9fW2N8MJ0aLm597Rb+UQP0MZhHVOh4Ogd8
T0Lyd0079aG7eDdF5T56Af3MNVDVycoXVRK8L0g5kIl+l3X/RC5J55rek/vJmyCSkOdCEfQBu+p6
J4rmbJrDXgJTlMnAmJGceqAwMByx8JugQ8rxYA8wIr0p4N0+z9dVaa4X0OufU5ldOS7OAFefvGPe
eiczqK4wGexLzeIEB3YfCjQKagqJbyWpgXkoMbLjkGcnc8ggpDbPpUHHkw/hCLxq/M32nMehk9dm
VdigbkRAM7HhEshHQ+/qfkEex8apDf0+sWEzBUSqkE2qr5MbP64xPx/pZmbAjCh8z9eB98FT3Jfb
Ji+O8dq9twDxI4Qp5jh4jzqo1zBdcPMG/FqRWdJH6vBu+wlKkJUNSwT0yiam07mHotU/cIZf2ll2
yihxYbNYWbyt261eZc+ra93HMa87UXYPCD5XgyI3vjp+8Iy9iypJq741NYQS6C0fbjDs+1VbNi21
A8QGxtsuHfZxbd6PqTzr5Ik3XuNfwMclWOdVt2VLfM3LtIt0Kr9lTl9v9Z59y0Ivc1KCopxNJ8zb
sgzdeiqiEmrkdtXT81pPGpYA6CdaV34ka3zfNgmxOAMyCb1AzX5O8x9dA2pFMDHp/rRu4T6YYe3a
+uWUwIvs/WbnTR53opYtrGVNkTb2TVgEyd1sZdFgaocgbi4BEyAUNd0FrWTUxBo0YbYtCV0LLFVY
uoLbU7U8VZ2ae/XXVs7ZfjbJZPrTeIUG9Y0Vw2nlprepTZYYo71jFifG519mTXfIZQwkgDcRNzyA
e9xy94tnfF+N5uwkPLPnwIpc6vBao3tHq0S+al+J+kUeidyNXIbQtoxn4ddcUHyifDRCxIV+8Hqe
pkm/s0feBDrPI4uTwiPPu0WYLOkr8O6bITuvtvNe9DwoM8tVA5ZHbQi03R7cgmFNbGNlQEfxSmm3
PcHF4YLhlzZXualLAX0RJYJU1ZFKY+W0ir2+JK+cnV0kspRlCB6YCNsQoGtf8/caQc99J7unrDDu
nHooVb/7N8Prn3NivpQ2+zM8W94apddw1ZwBi5r+m0U4ZN8FHbcx8QbykpZ0X/yQMRnEICe/X7NP
v6JfwdnGTXvDmQdgjf8P9v9lH8A96knRWY0moqAafsRuwYXXa39YaX2d5wFEfabjsB/js0Esn2Xb
QsJABOM2mXsb6sJQqk9ZG8a+g7ta51PWZPWGVRIbkeSw4G2JPJ6TGpPqpNV3i1jTfablL4XXfHcm
mD9phcM9LvbMEbwG8XhnwKEM2xHi1qp5x6bnPs5DnKA9oxEX0HUJXc2Q1wHJ8GSpPgiXiNCvpuuZ
DP0GuvFJtzJC933zAYs4ifBfPU9CMyKtJbSZ1O5rkcKLaKB06O0Q33Z+feZpTu3G2Ybflma2o5H+
Tv2j3hdBeyVK8ALupsv0JAFE0I5rRP6yTf8rhf3GfVSAmH+eo+9e6/+zea+zXvx9llZf+WuW1r9g
RGH57pmBTmEbU/GvWdr4wtaFMRrtCzq18s/8NMm4X1ixmUiXxk9P3k85zFVcf4x3KKjoqIbz70qO
Pw3lv8uxyiRjOsqJw2SqDH7BXzy8mD8cGFe+duU5jAmlOI4ZF/u6dFnbGL1gA7FAo7GtME+rW90H
goePhohkS0/J0ottmffHtQO93OCO4VLugrydlnjbtv5EH5R8o/PqgWKal0Zvz3CBj/T7+Sdm3i4i
rQ0pktE96PaVUeXwUcuv82eEsrW+u4xMowedQWW+A7YPG5gPDkpH96jP3gf9vfMun5q7ysy/eUZl
RGtBXemgeSsb1vbJHpphmxkN+h007JwCrG0rtF0NYJ4Stm4/FdQv2bEFLmOoLtLVm7Itxw2nxeSQ
q41n+6UpR225zSkSGXdYESZOTCF7cT8QFWzmjWHYJLgbExVlCvDq4YuhzqmK2IBwiBIIGYHK0D6Q
3ww5FuyAJ3MlYKINev6j97z3mM/3Js5IElr9VTl+MyWR3HiZaC0LwDOzTrnzZgAyRmW+5KUEMAFN
mlJeRkcpxks3lvKi1eu31kzhLWCPIyVMNtdIiLrb5m1bJGgDqYe+vhT3OoiUzyJdOVP+O+v2U22L
B24RdBfQT3+Cd7uE1ABFtRdcWwnMh1JcSUPuK3igZeBdoE0+URZoEIW0lqMAtgx5Tj8aA/uWlH93
ZHGShzGr4o1erlbIz/OIZyK7GDOPRCW/vo1vxADRJqu6jn39vvTLcVc1sGoD17u0q6xHIpvajK0T
2PKIvKzLhW2i5NpcbnXJjk53ie+CTPGjrtHvknG5jdsOaEdnXVOcDcHGZBnl3jq5d4zLdV+MbGL0
VW7HPkHkqK7nYNybswm2WB9DG/eInBrQkQ7eqyp/hN8CDpkywcl/qLSVfoVOHuYhuSdRf+qm7K6r
hqesNw7GDL48L9MmhJHHtQnKyDxOzo6qUlNhMk6wvPVLXnJKaYf8PZ/B0Hf8bNqSOBFjiHOgtXgz
rx7gI+eFpWAUq4VlP5TnNYm/ElxvjovTJydLAxo0TG+1BkxZ3ncDQ3HQBrdJmm8bObJWXS8613jQ
g3xCWsr3MusO2ZKTs7ascyaLl2qAcKB57q7pF4/+hGabNkkWGiDWeYdOr0FscIpX03Z11yuEyGuu
ZY+mOV0KqeEQmLfo+9wUdJeceX63Jun1ZNiPbQdPyDEeylY3It0EhMkZHWaFdhXrwT6vanZc3K+4
a76N3Ecia4pPAZU9G2ssL8uSP8YkOvVDv5m66ugnwwnx75I/uUbzbFkXtMz1sPWn0twZGTxGd6Vq
7mvK7sDEdps855kZ1Q71A52jf6yaPBTZ+CyDaTcFcDh9fgTLf+k5HKvB1kKEu61lDGHfW4cuaZ4W
z0s3ZsXiebLdk28OX32jJVc7TyBrOuspG7rjRJ9mqY3xRvj2rZUnR7oob80ap8yyjmdnhFZIfTlD
b+cfg645gCHYZ37xmJvFKdHlN69u9A2tal/71N6aTXlOa9pI9eGxqOy7LuO1qJrxu13xUdO7czaa
18zjwzFZ4PBBDDqUZnvJhP+VN8mFGLgdpl1/TSnPDvw51MJhfMI1sl1Tu9yNUmdjNl2yUbvULJ2b
waQdbUiDemfv+q49Vut0mPACUdh9grGy78v1FmBgv/Gq9mxZ3eXc8Jb1ueFXsvxGi91LQV+J3TrH
vrPfJc7bVLhHw0ofRpndOb68J0ZdbhyXKmYH7XP03wqAXEYF23Sl+zE2u9PS1/i2TD5hxnRORXGZ
QfaaS+suKJnhoUqx/mhxqdDYYI/ZjsrBa4ctaub5H//V+BgiWKIief3zbLIZ+v7972OJ+qJfYwmr
OBz6VOwqh5/p/nFLR62yWo7BafEsF7Pgr7EEiY8FHeNH8LtX8OdcEnzBJ6is+g4x408z8L9w/X+O
RX9YE6s1nfICIjRYAAXZNP9lTTc2s6Q0MbWu5WzrCPjjcVpsXCRofchM7Y7CER4A/fLomfiaZGJ/
R7o69ejHW0f1ouXAE/Z9x01hEvqm1uuzluvdxl8ZC2Y5wuRy5ZaSHNDLYnhbgvo5zZKIsr6vhZ3v
66W/MC3za9uwx8vbBWdfY0p0KfNUV9QOJpr3TRYBPKWg4oI3xd9wKT5SCIDTTXCpd+fq2kmsa2Ny
o6AVF17ZHgsafI4rWIYQopMfjum8p7o5Mv3mg+QB3SiJcwHkZ98s3ZufLXgJ14eZrMKmMDG4WFQf
blxUA6i0cajPgkhgkz5MxvACm8AO0yI9mIOoN2Dku02VWhCZeayGWWNdFVV7URY2Ok3XfbRjiu9F
E2xFSv86owMonJL2OnfG5mKuekpfMjZ7XoVJoki7JAz0JL6SrtAB2AwrDT32+uGbI9la2/u+Zvxy
m7hKb01KzDap7N5T3P3nXJRHJ9CQq8xm2ae19K8lVoLI8yZetSFFKkz6JCS1R8tLUgMEQSfZY1Bk
eIFORXeEl9zqiWXQsJEnmzZBd6pqpWtMYAizyuJ2tJT5wbLmEvdfZoLnUWXEkLotd6b6jlUGDXqx
wXMdOG5pywwzSBPv7InmlK7qzX0voHHUVn4ioXC59jkKlHHsl2TdZpX/Ea+5u8m9yo40mWH8GSgZ
Apm37HHFlZGepzDObGOJvK4N9n2OyS7HxL0P0EM2VdLRqUR141eqV/z9oPzllgELRNfjeDsiOW6k
ZWm3JQ76TbXyL21nF6uFq7s7P9H6MF8mf7OIpIk0CiHBbBfZhcNabI+wfL+Y8gawTR2lmr+gwzZv
QvHLstSlhLQN7IsmYN2SYPDYLKv6FWVm/TJJJ/9WE2HcSCUBL0oMNucEZVMJxA6+z02qRGOwA/yO
O+jG/sRklk42i24PnblQgrOupOcxqeAbQfUbnDKK45pNGj14gAaRrFH+qw2LR/QBgCrgz5C2XSVy
r8jNOaq3O1VFJD+V8NIsr+jP7Q8QzD76en3rjRFHfMMRWAYlpyJ1eaE1u9uya92juzBEuJo37qlY
sr+aqPFZIHoAOJ8affqp18MS+z7xU3lEv2ED5Vyq/bTdk5S/B/0JMRd3aqizA6jVMmBSa4GA/UA5
SODENC7DtUuiTC0RNFs/ZGwVRlZ4IRGg+6rNL7y8vpk8GWqad5bOS+yZl4NwxydW3++T259mW8Oi
01Fk7k/DdBqkB1s6YAzMOlxKSaGfTP62FPViHO2Plvag0FghGU0o8GPgPayAlDdZvvobWOo/yCzQ
mllVR5Evt9jt4H8iDghlwK0rX+yLTJVtjSnu3EXMG8ZsdHP+eC3NJvSk5eyWhZfQaKvrQUvuyjl+
0cXw3Ng8HpB3x61XdJfZZLzOBYO2LEDyjVIkO4OeNQMFsi3sTimIeAZWGkNKOZ6lPz0OLqt5/Es3
ELjpnqi8+ohNnD/Z68y7RTmGTS8uh1w/0EJYh5R/7XJdtNd4i6AhMhNBIgq2FJW8SxSbjTNm2zg1
3WeSPxW1SvV8rqFgCNuDceg8UT7oHLMKdEm3vnHzoRhYzAf+0eUu5Z4FyWrdlq53leY8ZQJ4LCYQ
wiLAuzwK46C1Lo4o7gxmRr10NgEerE6lKdnWZ+Vb7wcHr7auYHrtNbvdJ0DweE0pUDH4b+c19bMs
lNnwITPvhobxHlVvOfZw8qLBK0PNLm4pcdU4CxQqbLlM+/K2gjFqZOl9SSt96rJrGWhzGqoMonIf
DqbbUZklmf4W6mx8+kvKEFsZ0hjsD5ws7/EAJptzTFv2tAdIH+8Dwm7i1l/1DB7Qf2ejz9lIZRH/
eTY680x5796Xv49H6ut+jUc6riNIgRYJS50g0h+jTcYXsgqWh5bBe/1zcvmDasN05HEb+C1H+XM2
IvLEqhKVBxHIdVRY8l/MRt5f0CVKs7FwzxGUsrC4GShLf/a3VU1pi4Xp6aqy1nFHtogeKN179vwk
Et7waPbut2K9jVnKmK0Rma1/O/TJN+7EFAaR9wwbu9i29XJ2T3mifbem4lsFghG0kKLod/Wb21Pf
jpXw2FQcWkmNGXUQO8fo4jDlaR5iGH3R6rF5M/qarr+4nKIcQOpuTfPDlLFuiJPuoqbdfpNb6WPl
iFO9BM+r1gNg9Tt6edrXJS9IZVqv3F+f5pFFi9vPZyqWVOl9QdaozS8Hckk044jxEfP/C2uZ7LJu
wH4Zk8N9tMm/FUP5Ao5y5fpOplhqYuf662FtzRfs/FecR+Hieqwb9wWMpjYQHbzd6duQZs/49fHd
iEfZackFboZtIO2wqscrI8cPD31hXrIrquW5JAP9o875h6B5ki7VFofHdBXgq8HnYx5tscvbHqOJ
CE3zLmnPHU1NffGMJNNu+BH3UjIxcbBtS5tCiB5TUVjkpv8ttrlbcqQfWJopHBh4wVg7weGYqFig
uijOhmgS+Vc6YU+uLtadTZoyHMvy0IryR6el07Y3JepFp+87CpdCZxxuuPrSHKa7bAHBfaa19d5n
mX1R1vx97Fekk6y0YnRv+rpk7PncE4xSKp1zWhtY8PmDd5r6DKBZcFU19tbNHQVdzIE20+tle1vP
WWGe2epE1h3UB9WdmayCYXcaDWozbcw2nmTrltFTQs0Wb7aMqoS+Wm+C3nt1Gu0Iqa3fDRKdSOl5
JsLOpBQ+Ty3GkfwWpf3Zbf61VmpgyiunIQ86yISt0gu5z/inlhqC0hfnBkkRs/dDisTYKK3RUKrj
qvRHoZTIRWmSBeLkqFTKEblyULrlqhTMDCkTVLcVFuN8qJTKCcoaIWlx0evE0eK4IEHBqos7qeBu
aqOBFdxVAUfqFLdXm2b0zc3CfZaimBfw3Jc991yhLrwrN1+Kyk7gBI+muhKX3I3hDr7lMjkGabLH
PF9uXG7RE7fpZtBw7LhHvRYXA7dt4brHQk+uNW7hNbdxt2j5pa7Tyeaebg3iPKiLe1PMtyVFY3Oc
nezB3dbc8JtAHA1u/A43/zbBwsi0C2bUumzQBiY0Al2JBQNc7DjpnyYlI0h73WXoCo0SGBaUhg7F
gRTtJXLKASAVG20lSuSoEzYqRdJ41zWqhVTyhZ+Yd1LIx4TZOZ7zMxM9VSXL1xpqLwJh+liU6Y5O
zscEZcRJmMXdzEfVqveuEk8yrz9bSk6BB39ro69Agb+tlOCS6G2YosCMgf6kK0mGRS0tIag0cK/J
3OCyXpWAU6/V04Ci4w0MHCg8xCSpgkXzsUr3ZUUDmrQpotVsV6IN1XiypdKK2BBvuCxEq4yfsk89
iVERbcnMkJnKT8XJV+LTomQoTQlSnVte0gFzsoPiOCvJSkO7StP02kbLipWolYvkPCmZiyL5t1EJ
XywswZEG+1YEV3jWqAOEw1spsSxDNcuM4USu7dFCL2O7ereql9BCZ8OSwacxifBqXxqJ9jijx1GM
e6UXM6Vqnog6FDtTSXeZEvFs1LxWyXqd4ezq/2HvTHrjtrYt/F/enMFhzzN4kypWr64kWY0nhCRL
7Puev/59x4kT28nNRd44wMUFgkQul4pF7rP2Wt9SQl/t5Z8rlL+ZM+mqQwtM0QTpdhrpzNAfXEcc
a04nEeohVZpnagX1tWHdgzGicm95TTL3blGyY6EESA59t1XOoVlJk0ENIR6tkj3azkW7tJSImXSO
tRmVsJlOlHYa4XuqJE9XiZ8zKqiu5FBdx30qUEhdJZVyUVRrQ8mnTij2LXpqi65ao6/O6KwBeiud
g9TAoMCCHN7xnu/DOXvs6giMhXXDOcgH0rc2Eoe9MWRy2yqvR8TdWKm8njPsNWTfbvEODTLwkuno
fZJfjX6tKZ04QjDGr3qXKgVZcOoD/okvYNDHc2U6l+1XwRmdHfG5Vzq0/VWSDhCnjYJVba706qim
cqbGExF7A9/O5YIQHn7QhreEPXLfTPPODQsJ7pfulrwbig01J/XKGIC9hwN5raHPX9l7b3C3JVue
MDagaBMgMrxs+rcxW3b7INJif1K2inKQwxFoX76qtfmjwMyLkyBbpXORrs2k0VcOva1UcGSPQxka
vpidxncjjwhf1LraKic0CaU0vBhx314Xtd49JaxkoxXNdJqqyrHP7VgsR6riAM6OGKoAheSWvqlG
QIOLrl2MZnMcqvjG8Gg6mhKMf8tDXge3ISzyvjbY9JvF2sg8IAF6/RSwOVm74bhp4AyshhRPCmRV
FgPd65D0az31nlm4XA7jzEMGTDpAU9oSVqBm72FEz77nRi/cWR+E2eyDMboWNkVGiXmC/2/Tdhxv
uJBK0mfmE3WiJzfOLxnjzbVD0VNCSbRW5ceh5xHdzL3nOw3+JWED9yxvuzalvTBfDlXoXNhTvNeb
hfNYdYCODylYpASnCdQ4iXmWY37XYUFg1J/9vCjui4xmxBywoojHg6DjldT7mlGITUJ9wK9IyDo6
hG59Cqvu0bHMU1box8bkSWt6tBpVb0GybJI0PE8Bk8JsV5sliDYNnaZ23b3TdXZBq8+65aKbpv7U
y+zNMannaWWBFTq+xTW2IZEI/T+ZV2bu7KNJ3LUqeNoVmkZVEeYt9isLmZ5gYB2lsjO9bLddou/z
3ngaPIvOXH3a2piNTFpfGC1qigWod56z9IkWoXWo22jhrJZk2mPYDLODViUPUgY701tucCfDg+r0
+5kDtJlUj6UOx97M6YPUhvhL0JQYdZOx33SReUXJxFUQmp/pwYWSn1Qq1LlLZHyQxEy3YRichnR5
r2b7inO+8pJm3YVjcLGE5WjDQnWh0cyVvglmx7su9fJYWP2mzDxCvp04Z5Z2kXVEa7TQ3LakEFeB
jZbVtCLfY4N5tsdkvpPcaXzyPhcThY2+NpaPEyH8SnOeDSMJKFeunwTmYpZJ/TZtBxqyWt61F4Cv
ULee2oPwV8poHzYZfahVeom6tU3xk1zTIHCqKLD1DQeIZ93kH4MOJ7SeMbhY/BOIM18fAAjHEw6i
JT+MrgEsuusvlkY9tW3raVJk50TQHNBMMltRCHSlp/FVOqZrsO6I6dHSXlRBo3I3JlzOLDyOTXCW
bfYs4sraq6+7Q8EOy0Se5tDxzWcv6u6Kyjrr4xRfSLOAlVsdwkrcGyETTWmLFdbuXShKnD7pRR2K
Xe9amAvt/IMib1agBJlD07tPO6zZXXJKByiQGf1rrdE9zXp9KycAG0XlXiV6eJW7yRY3w3wiifRQ
Z/LZmsxbQhblyTaTYtOTrdoanfW85PIgW9rZCXsVu2LgD9Zqnb61uPMr6qL2CW64VVtUPB2xQgnz
btITg2NE02iUYGazZWCBNx1tY+gxWtz6uxPffw8IKf4NIXNgrzzjpYlT/8cDlBELMRlGEV8nFVGy
4rKFlCKtu79/EaVQ/7FZV/Au9SKObhF1Mom24wn4PoWUBlNjam0bg8w/aMWl0CJyfPfdeP/3L8NJ
9M8v4yqSpSBILbyfhPIAzy2nAMHgbnyM5SfN/MeUVVVqQ4yKNBW/rp9/Vy2QiBJbbHZdjFxoey/A
W/z76fsvPou/+Pu7JIX4DfGLsllH/PhrCt2CnICNSuVx7sDy+VtS6z/i7dhW/O3v56fP2qJpLtK4
lV5b+U7L16m+bai/wXr1niX+37+Vv3gptbQgaEt1DCUDP30UmReKhdRLeo3WS76QIkwA8KFFUewa
hPDfv5b6a/90df3wsaBdfH91CT3OcUdk2XVlriXQAM5dnc89dR62f/9Cf/Wmvv/8f3pThZvIsvd+
fSFaKtDqp2jLc0Q9iqv/cq2pv/TPbwpAhYBQa3qspQgxf/+mTLswSh68xXVrboPsZZg2dvD292/n
ry63717i58ttaW1mJVsU14X3kgTPlvb/uJxV9NkFcGPo7MJ+fAs4Ge3O0gwsaNwBTZcsxv/j5kXg
VNBfhUffdMBr/fBLorGd+d7RiQK5L6N71RfY3rr/cu/6qw+dixgOD82zlq5MS99/EDLKqwJ6e37d
MPjNaw+mnH1GfS0rn/jz338if/FanuBtkPKDIoT+9ONrRZhBTJnYxXWkztSbmJIk9ir1qmTGuv36
Uv9GPgwu899vuv5L9/JbrvMK/tv//g+S51+Y1NTPfJM7ITnxfXPZ3RrAANA7/zCp0elG1sIWFklO
hwcA3/9vciehTVgyKuxp/VzcBgMOmZN4hoNAyo/9M5eaVNfAHzcGFE+PNKnDZW+5DkWAP18j7ULy
u7d7+pdMTos1Zjq4lyXLHcvXpnAg2b4E8PFXGvShzPc6WCIgQ3LoZX3M4Bx1tsguyUsITsbUqTu0
muGFZdSgyNNK5AZpzyho6WJ7NMHmSPrwcexzjatdhJaW06uryerQWg3+JznYzkQDLDEmlydLCH6j
QXuYikc2EpQNWea+K9iNtO3QrepBDDgwG6qDQq3dBj29boUBwM7JNiUiF1vTWxLaDW4yTtElfmS6
cU5FHVww0D0ANFbNImWwqqqcReIhy8OAoAGms9hJ6LZ3Oyy1E2Nz7LFi6gNGWLLnj9RH3OiCkJiy
W2h9S9xwUrcJ6VJ7kXvHppi/GFM3+TFWkm6yybuH2SmPOS+BZLih4XPejg6ToNPLnvLkuuPssABg
6UA5ipn+z9lu6KUSxkYQEvWTHh/t6A1fNGs6ZVoMnKBhz50H+pdpqsp1b1PtIup9bNeY4PTsIvFY
UrHSeOhtbOdJPV5QC9NjLRwQZ+jFYP+2rd0edGcacPrK6Rhogupg0Su8mqzyKjHK27oe14Fbnaj7
onOThs1B3aYIZdLf9WrN5E0b+i06UxDySP0swgs0VOHRCnL8Y57DJoZbmdFNyarJynTrza62xfd/
ifkL8ELWJBdiXnZ6GD72RcE0Wsp4Z848AvEg3UxuQ9UUfap63XHqBF9Xi+YxpHOPSln7NM/6XRcS
Ep2ygc0wrK0iuQ2L4SK2TT+l9IhMwRJvAnvOCIHSgdukkHLEJG8E9REbrzbfy0xv93pVqlL78srW
i24Xmfm2MNNPeEMf8oQ7ZFVfa1HFuk9SiWtlEqkpS7ZJlj+weKa4S9H5zGeBeu+7ib0bxuxuSu1D
EdaIFgFCZuRF9noGncyFbkQ0HNBRaMpF7KNxfCxchVkyuscpGB90q723Wsx+YbPsikheJ6291hKP
Fr3uFQNzwTQ/juveTZGlFF/GQ381u/6O82+KJKtzkJvDQ9ha4b7u6tveWZ5TL/xc2xyFJ1xrWL5j
1QLG8doS/achRsjWU4vkpRMdNa08Cle+FAtKiwhrUPmlfgeYDgXTuq9asdPM8mbkjE4Nl3mn5mTf
iwQoiEm7CiPrEj1aWwNq205x9hhbLocSfX7Jw2Xap3O474cGLnHkyXWhpVgs8qzcdl3xnBQQmmZi
n3zLFu8kxexR2iM4Ty3NhcrN5hzytoEB6kHVtFPiiOLYztd4Q9+bDJG1bOqrynU/lXUQHeF/ZBtH
n97TWN6yMSFag5mDwpVpJjo+f4xDjod0YGUYhIa1NuCpwPft9F3m0msUgJ90AuyrjmCugFqJ0l3h
2qzn0l5bZbSn+PnFiTpAqk5RbCZHXvZ2falrFimACfrJlGG7SOFI2x0AJE18NKN1Cst4T736c+GG
xsaJ6oNrUkuCX/MkyBJvvUkbfKN3bq3JsA5hRzHUknAr0Y3kUk9p6MYUj+x3cqVxTprglGfJIerq
uyBiqT8xmBYjdrAyuHYoUau8CITUzN5AsIk/Se6L3BvxrGCJ2LhlP+6StHwsSsRYd5R8ZwFZ2MHY
bMbQobl4GB9k2/WsgDW+00XFHx6nz5PZmXwdp22KKwKVjrlUTgZn9pk4zPg+NrjNXBsOTDFbp8jJ
n6eZ36gu+7ts7IxNMJQPjer2NlswLiQmorDDSJG6gliFfRBt+SYN6/PSiI9B52KoCue+QufDPaib
vp11MPBQwaEuuTdDAj7DJBythYRXsmy4srX0lrfqj310veQW+jw52HU44IxZMveCwCQV36SI+zKN
IcZ408Ea7TujCp4iVy67Jovf87HFJm2NGI7Hpdi36fCJQqAF2Wui82hqBtn+OpD9OyUpKNJ/npJ2
2XvxF/wl9UPfxiQoehCMwFp+5dr+mIs1fuHMYvE/hn4GFCaob2OS/MUTeLnh63KG/nWX/G0xLH8B
2QR/if9TWoTzz1C5Di/y45jEyM4szZ9JCtdSf9wPYztARpc4qCcJoDW4LWx9qaDXlWFxNrUiMuiY
ydvgszSN5gz9rnCO+RAX64VWHSeRF00h03WVp68pjrWZON5g0FQzW9xbVpWJDL1G1zwUE2WN/SDP
OHQ/8GfEa7eBQtAbGI2NddiSlLPrncBU4WGumCptr2G2sBvcPG5SXoTJeE6VH8PpGj9kV8y4x9Yy
IYWJdQNPDxgazBy4EK+MBaKlcnmw+mF3Jeb9rBwghaa/JlhCJiABh8Zzn7C0EEEY34DvXnqyyWiQ
4709K9hQpzwmlV2+N9y4U+U+SZQPJVWOlEXTthOo2rUx6DySiLAq98qofCypqTWbSnlbOKrybiEM
+m3JXIUJxlNumFH5YhrlkDGwykQW/jOzD7eNctHoTehuEow1HgablO+rXyvPDdzf5xwTDrDAu6go
r0lpIaHmgb3NlWMHh+JhVB4eGWMI0bXc9sVo8QBRXh8KTk2/ZwxaY828qDAE5XZ6aEOarSIj+TLn
g0cETjXBl8EDIS59ZYbzS2H0zEC6/tEZ2lHHegR07oICYjbaypU0fPUnKadSqTxLs3IvTdiY6LR9
z7VifOLzPHX25yV3LuGfqu0zNpjkCHjhblS+KLYnSUuplooUceLtYYZSCBmuql9zRxTwEkKaQrrq
stZj+rIJKcWe10w45Gp5abhadHTTEpcCK39SlUklNhY6544jobxj8uupg5l1+nzrcnH2A7vNXdXY
Vkb/+BTudMBZGfumxrhws6x/9ErH24MyEU//Hhp5ruAh5vbxn2+H4K/6FvHjT4Agfuq7+6ErbWVB
IcPEwYaj/e/ZJgPPi00giKMbbeBKpfjjfqjAwGSOIAdzZ/yeKur9IpE00ABIksCH+odU0a8cgB+O
jSSrdO7I3K65x0Id+vF+SF4yTDUnAAS1VO58WJwyN1+HyOyCa8NZm3mOKVgz0DSVn6uP7mYrtCi/
sCqf7w5Q0YDM5pjV6YYCTstv7VzsBRe9700mLt6hfAEbzFnHjl8WgqF+bkatz+7xxDGtXsPmvUlq
+VCpeq0qp1ho8Np4482M17HEfZz2ekD4JQVjquVUCDckfSOnO6HoSA4y8eOgO2dao3dOlhN5pjhs
WED+duNqEDlr9qQ8LxA+SqfkZNqySMtKvDmkLEmJMDnFzfIik+bs0CK673E8gvYwbgzRZZe9tZRb
L7ULn0aLkphW/WEG4Uuf9B2nLXfTze8juVyfEORm0MzQz1gFMwA+VkUIBMaj8o6+AfU8GAnUVlSA
m6XmYa4gmq0P04lG72RjNMt77wVb2jlPtIfvdGa0tip3LaXKTVP6uEAHHJf4RNhjvHdY4NIRkokU
qjIbxxBWHmKWnJsDYOFuB+IupmSW4TjLqj0Nq5upTO4zDHcM6ueqEacIIx7PI7qV7fw88JH2yqsn
prgpdp2me1vPqY66nb9SJgkQyA0u8IJeFOoRaH19GiKRNGd9wif8OWky5uH267NTW7q5IqGGN49W
aPEEKlrSaDSkbzTBYyptOH4b/Rvs1y0ZwJCDMP+a4M47DmFKWyCfrnKMJt0cXVlF4G20cSIz00Uf
o4YhMPHmZ7KB990ynfVB/2w21RHHz3M8JHLt2C2TcWh9iY3pOIpw/pxFdbrCDOWuLXav3tAMK5uT
dWI354CCSZ7F2kXv1vdzzNuCWI9HJ/Sug4lTlhct0Fpsv4+IWkHBkBwUZrFf3A89Ka1NrHcPQ5fR
BFxZhk851lUaSnNn06LaBMsOTh8hdgisa62M3sK0pje4n5etN8KvSmBcG1r7HI/lvuRrsy68gq3a
zODgtgsQH3VkcLBQjFYAyki7mQPtqekE3F223wkRPjuIwg0CkAvECYSO9MgeNfvMTV2sYSwCIT6s
UCXB3hKYi5z0o42wruTWy9BiDM7A96RzcuUZNGYDqV05pTwVY+auIBYO68TCJhHFlKF0w7irp1yh
MIA1GjJ7KVhLk9/e5Jma9inpSM3qbtEctjUqtQwj6xMPqruJQLSQ4xMtNvGhiuRhmbC+hF51Csr2
yYETQrPgnYaBJzK9a41q6Ug475W1XOW5cmJwbS4OUNdKL3p/MMLbYcDDK8p92Me7JonkJp0AAPDt
cT63Q3vgud7fBh67Ppa1W3zyJ4c19ubfR9uvjzaeRP/50bbFXPxXiqjgp7492nTvFxaDFKcLl8eR
UB7L3x9t4he8l6iewhFKmeSA8O3R5v7CP/P0ooXRhT34PcbOpjADz6Zru7+lev+RB/TPjzZF3iZX
jGROsZ9t/rQqSXPSAxM65xVf7WPY1UNx2Y3GTMloPlRVydG4X3aAKSiij/KQCK6MsFiUslDh+STi
2Nze5VE9+xHFMUy9/Q7UsJ8uIZZxURik/zJnVcrklUECj2dhx5tZI39ZLPYVHljgHZn2XI75LXkY
tNJST88dgZQ7sgp7yWG1cANs0RqrfRFrV3BoPFx8Q032QgufZ7LxN0EQxc5NlAEBsQuPfl+L27+5
cvoMw54d5KK4d1yNRVAjo3EDEDTormutjeKH3mIQB9w2PqYGJlK/Tct9HCXJvDcwqo2JdRx7+9YO
LWAibvEgluy+t5jTy6h6M7w4h2jSQ8GmHaTpaP/VzdeooDOa1TNEB+PRmaYHXKL22gR7pg2ar+VW
QYWwKpevaC/3sEKgdrnWBpiMQm5469xJPxuhfceZCPZAxZNTi78Y0r0ngvguLNSHNueXYnvdGX0F
ruc01PuRPx81uko/z2ZYU7se78UiR6LTuEfzzLuvM93YlkXK/t1UBfOJsY8QfIthaPx8jA9mBNvU
zgkdFY27rFqRFhsslNkmFfPRrIxzYPT5ejFZrBSWsS/TGceXh7wj58k4EBW2EYfFFwGnxOtblpSB
TauuS+i3kC+06Z4c6Z5ak4d67HE4MBd5B6lgWMuo3U6B9sWWyzYT06EKqiuOchVAoMavGmZ1auvg
VwTVR1di03BifFYcX97GSE4gtYsnLmmEeDm4e8cicsTldbZQUledV1515K8pOA9uMtmd8Q7inIr0
26DC7tJnWP/E1EAMsQd8o1XkR3b51CcGq6mwO3Z8gh2YVtgNUDpsC3SLqMvNUlADDfJ3qu1Hve2u
ZBffJ12ZrmPRPuRhdBsBBfIr0SPlONohcfBeDVFzO7vBPemM81JTTDzqcMfpTCEYHMc4PZrgBr2d
6t9Ag8euvTW1FvnCqtLdbAeIR7rM1uwQco7DLXx2Qf2wNS/HEhtlMpcU/nq28lUX5jofMhYF1nhh
p/oX+l2OMftW5sj40kkqaD7CPdGIou+EzGgwZ7LU+QL4lp68NKIat7PsrmVjPQ1ahDuVK2uVzLmD
i9L8yGccqGlV3vZLte56l4mKxhZXKUeW0pA6xCRDqUqa0peCEM28RXLKZmPBJuI+2UqM0vmEB6VP
ZY1xYJ43cSt6VNajYTlKzRJK1xrr5DpG6HIQvHKErzDi2h4jFzAmolicyxv8KLRoK71srEYT/wwa
Wo2YNipVTSCvBchswszeOLoc6hHZPlZKXKAZ7xbSXKs0ujzPH3Kl2hnId7PS8WIEvRJhD3vTjKuH
iaO1ji4mZWK7XuUy2ooZS3n9ao6wfg0bd5jiTiph1NGmDmhAuYMR/9qYxnPNVnovBYNLJd2bpR8w
03SRh7mHdBbWLoA90fwGuq49CLfjEE+HvFeJbD+Lcl6hfCfca83PlWPddXlHe06EbY4OkdFveg4N
SVUVkAwFpZTw7lLbfB8WukYK27lMEmPwB+A7+zQtICxouPxkXzM3CpzmhLDeNIyDa71ltySw2V3F
k41Xr60n39OMyDeN+nYsnPY4e2630Rey/nEx8TnFQGvM2Y9tuEpzElWXuTse5jz4THUz5xUsrhtO
duxUTK7WqkneHLdwCfThWbOLYBta5kxnOSnisrK2aUTXeITpYOuxGl5xP2QTkNSfGw8DaqMRoAl2
ZV9EZwyMQI/KWAIIHMVKdrncTlrBzAx49ewUBmCeWj/UoXmRuHG47fLE27U1/jXWFoJ90zwfo77/
ArUI8lXVmUejAixmVwvM/Cks9lFRLJ8WNlm+Nc7a1vZIsmmUkqxCAwXd7oaDmXNq0HWPIdUeTmEm
j4FcTlq85Mog1bBXWs5NTqdr5N55JOQvlharddQvrEyG+abqo/vCWGYeiHq2rUyWPX2kNevE7N6c
GnRA7ljebvK6aT3rNEPAj0S0yaKbLjZuWCwJPy3jYVdVy4nD5gUEUp+B+WagrWBjJrXg3DVi8nKb
K2knb16Rv6J1Y75zZcBmSMO2qNngHr15A79/WIcLapwQbGH69KVMtZusie8wpZVr6McOrikdzItV
vWfM8mEuCH6bFifR2OKPJP7nj5l4rmL2mEMfXwWSMAd5xMEfaxIdZZCeCirH98mUhA8169N4DJ4d
A4XI4KvrZrRC5t2zbYJjirqrauBStrr8LbANudElapLMs4e+xDxaxvGwMjTtvIhK+FoGZ4h2CBKx
6SlrmEQsnqlQ+biB6fr75LW4t4MLD/DUjvXukSOYZHWkoVsWj/ncXIGeg801s/xrwF7zgeJf1k/Q
vr9olfcxThqrEECoRa3tgzZ597Rh2/Zlt2vdatNW/FvgOQ8EIi6W8JRTOt/0QHnaFK0yeY1abr4w
6wiWuQcSr+qq8VgKO81xadnhuCkfT66RYKna07RwPdMH3mwNw3o3BZRMw3bv4iTkP+YGPuREuRqo
epYo0f/42u2Y3D4zgR3iia4xJh0YH85xsct83VfxtVPTeCfHR93kD6+mkrIRnHejE+3MvHuzQlCy
bNTQYuHluvmNGmLg2wOHp94HyyN9Hh7Sahp/akY4Uay/YgxG9U0Vywsqx6RvOizYqCRasfXTqddg
d1zSIzQoMykcE/gQFfvpPA+3ZH2hLi0mN4tmvsuHmrfmFYgRzJ3goGLKPEw1PTTshaLjOCcfkW7H
23D0rmc92ZXLrmVRY3i7Zi58fbrwtPQ+ygYgZ5aVr4Vn75JkAGPIloz6slfTG4kFhK+eQ3TBwCOl
BSLiw6pfQNESZzRGYE+VGJoTXx/M31PFWdd70CsXaRKefQtQcG+G2d4gYDx0qR94ZnUunCYHCFvE
zrgBgqRrj9FQlmINAbhtjinsEdAt8VeOS/mV6TLz6RTCjjXfUsiX8Cv9xZPpsQSCsZoUGkbAiFlw
/iOpshZ2EyQhBZKJrdK38rT32Rs9EeFD8/SGejXMob7JOMaaTXE3KjRNaxLxhFXDls9e5QxeWkD2
RdryELnWC1L1zaTSMZHKyUQqMcPcBUlRpWjscWCFRKiTxwm7slSlbVqVuxkM9dkxm/cSKUJGF3Wj
W2SqLH/q3KuB8I4kxINDTa4KYj26nIFDWReAp5huyuqVZwuxcqJAKZGgVmWDul68Q64qdkvC9nIe
vL1FkKhWiSIZcebnKIH3nLSRExRfmjHfmyqHRLp62YJaubDq7Nagu75QmSWiWuOe++6FJM7kkvVY
c2hvWa3yjVaZp/Zr+knloFoCUY1KRhHu3lUqKyX19HNaE2qIrtOK6hub/dpkHuyGKLP0hiuNDhRM
qN11bidfCMgTp9Xn9UhKqwzFlS3nbUZ6yzKuHVoutaX28ZFS0ErEKyXG1hH56tzuEyEZ9BbCYF6z
m4iGTWG7Zu69momMxRUOYJUhMwmTLSpVBiDsM3/BT1EMuddlFtxEKoPGXeGzpVJp+UIYpSSoNqnE
Wvs1u5Yvl6NKs9XE2qpBvEzE3MaxeElV7m1oO64E+ZwRiItVME4l5P490H890Cuf3n8+0N9kff7S
/lmrVj/17UBviF+gbJmkJXV6gai7/O5ATwMmkU7wRQYSn1Dg2t8O9Ippy79CQyaFqXRkZIA/dnfQ
siBm2cY3Rtc/CHUSH/3T7g48oeHwt/CYHQh2/qhVW1QvFWYw69c2e+l0T8cGaHWvTi+TIFtbqlIu
Wh4DdF0DQONu5BmhxVEL6YEdeRnuZAAVMk6nT01XgRso0X0RmCQwxD4g2pBPHFJaf+n3nK6eyzA8
BiFlUeG1nsjwsoxbD61RNd/pDDJpSxAOsepLprrbMF6lkLK8Z9cKso1naoAHx+55KfP9aKANm/Zw
E4+duakpueDfi9MyMNsjvF1aAp8NYemHQuvnFQzF97iCM7oYXzyNBEjZp7Bhjeku9yZi25P1zDT3
2Cz0Tkx8hxNKSwF7y6vCmecTeetbR6ewcyqow5iChEAic/kEY9cOeov/kG6WAeCDwR2SxHe8CgJ0
zDxqKOkqzTeRPtnzTdQ66qBMKdXY7Fl6qsg3i0iO4rNFOZcgawN10MSlbs4jOSKzky96bAUD0N6G
mEExcGecinTPxFID92fKIBJZbUTA0xYrtvLNe9mW4qf0YBpDQ7dJjEQ7h2N35mbO1nLJmvNQmgl2
Lh4clQsD01DQ3raxAGjU0C7yAjdPXjtP5UJtwNin48ZqLML2ih3c9RFcWVlCjZKBTUZqnM/A4qwV
oUfhAytbg+spj5IAwirAPnMZ2CLxIYq1xygc3N3UhDQQWux+/BrYPSKniXSZ9h+GLL0dykO/rlNA
6bqjvQ6gwRkHJEsABa3Qa0i8MffIPcrYOyF7e9XXI/UAFZdqI60DDWjtmpqw7MYzw3Sjtwrprs3x
RkLp3VkZ1I50aO0dvr33fNLlDvtTtKobLbuBMBke+c1RnkzF1otXKkjTHIs9lDR+N4JJrQA6sjLZ
Kja+7oJRzRuteK3mgptwGxMmsFuQ4p7WnEa3HE/h2FOKGHGHrYRn7iqcaxs+PMCPrf2BAYi61zn6
wBxj7pQTEFlhyUnhyoo5keX6K1zUdBVBNlmNCn0R5oQy6soaNlRG6jzR2DDTJoPTjO9ceGwSQ+zH
JS26TZR4PGEm05u2OAWb5CPDUrf3dN04lzo9SLh62lPHEYFEZ4UCBR0YFjwrFgUMhp2fEkCuH2aN
RYJYAlhelEZu2ohaI4jDWlg/ZgpBzIaU9tZ8mTaDAhQnAlSxC7NYh12cKIjxLEmpGQpsTBoKl1ZF
AmXpz7EiH9tOFlMtCA1Z9s4749rnXgTbUfGSJ8DJoyIo26CUTS05Elx+mpwRWJmiLbOIUjcRecmv
4tADZC75nmo910WXe/eMezc16GY2BUqSKq9QPd4M4M5Dpk0oJtNNtzTewQMAXS7tXbvIT7TCBhvR
5dG6BhY9JFBL4iCGvgqQH0wznkgvL+C5tuvGi25DgevQVfzpXpGobbHwhMUIR+/rHjT/MQVa7Znj
pYZHwZ8Vz3pSZOuCi21F4U2B6iHjV2odis9O2iX70BwIhlm9iZlAWkdwSfbKAtGNqS1/lS1TSC76
gshNfUMFwp2jGCyJorGEpApXkyK0pIrV4ipqy6x1gNYUySUox/CcE3hYtXxdzr368iyK/UIOKNl3
igeTBLHcCeydt5mixXgGyUzuMICMFUtGsye5qxRfZlGkGeyoMGcUfWZSHJpAEWlixaaRilLjNPZH
q7g1qbUc8GJdC0K5OWAbu4e4Y47C2JmKemMq/k2qSDhAAWHiKDoOB5ZybyhiDqIlDBkYOoGi6RiK
q+NRVLCPFGvHUNSdTPF3sNeiQSkmj1C9omPBO7UVsYfOo3DVK4qPBvJ1lSiyTx3C+ClybGfcpvp/
R51fsaP63446bGoB+nzp/jzsqJ/7fdgxf1HbCbVK/0riZ/H9+/bC+gWLkm6j23+baL4NO4xBLBTY
zJtqK68bxDN+G3aYg4RQ7us/dh7/YNj5MeaBldwzSHjQ/URGyjCwAfw46nQ9UBYgf+NNL44UbiXz
bdnuvpv/bn7d8X9fAUU06Yd5indhCJv7CzgOm6mK9/vji8D4NJMkbasbc5SJUF/pFoJWZBqFeRMp
byM8UGdKz0sZO94VkW73CeOOkZ49Yc9rvKOTQfFjtW6n8lBH00XM8OPAjV5iHbEPwuU8ZzeBrflZ
qR3mVkKbKe86UYWrOQJGWru3U9zuadLGZZtPW0Cyum9b9VGrxmvNS1+zOX3RuCf0VXWAi/M0g8Ba
L3EEZqLdeEZGGLDFzzw1H02vCPfx6GcYiTAAWP1aw0S96uxxXw+cH3sXBKq3r80WikzxFDriICT3
ZFOvjvVUvGetjIAuW6tqzt+DitIhL+d5UIoJilXbbFkTXwSdO/peQS1nM4LYrlzxOrXF0cT9jnBd
3MMVPQaG8amZMN2QlwdliJM0mse31rGOs9UU2zqpLotoGn1Z05Vnx4G9DsoG3iFkKNcqu004m5dg
7UlGteY5G3nCLUP/f+ydyXbbyLZt/+X1kQOBGo3beAQJkqIoUZUtqYMhq0Bd1/j6N0N5fGwrnfbI
d7t5mscphQgCgR17rzXXvZLo/jLaeH00XmKO1r0lNjJxh2CzlV2Xp6I0DvbYGJvKwEWdpXWys1Q2
G/qCIdZT9ue40hgvDxCyjWr5LEAv6Hydq7JXrk3Qzatcy27HHEa266QPeMGxq4/V3iUz9iLrRuFF
SnrWKjECeVEbK+GE52H3rCelz+vRi/NR84yppvuSFZ+DBdZaUEPkLkN8vk7frDuqqsU2n6uYLW+c
cUbbxrPT5tHaSeI3J+doHBqQNurOvQ1r682Ix3e2fVwzABAtW6xG1hBUUa8M89OgtV9EkqheYzDy
0dNiT8Qd3f6h82PHItBAJzDVaDtqQhgDvKb7U+8qd0NI6aVkHdPnqJFzqRso1/W6xN3vFYEOVx1+
0IAwbZGiKddJbjTm4oTdU0+7w+dU5TQez9Yb4OxHU6Ql6C9NJ2gnDYiQj9Iju3jjhUlM1J+p3oVz
fVMYJmjIVL8MM9teR2UEHn6CyYEVe1WNdb+BekADykbmbQW31oCsbkiKV0OMlj806l0aZvQgCg0W
nUy5DxHe28pbpzgPcM14Y3A0sHXBxHEKSneB6WWV2qbTqasrjbt/MxpNHZDDxzhqcUV9a4YjZZGV
cpe7WXqXYiram8uUnCx9vK1r+KtL9ZoTORSnVbbKyupFdDUjJxrQm76jU56OSG+aOPlsGB1QKU5d
rfWJ+MlpO0dgUPKS85WiXDd94koBYFZDrsrRsQyjc1BsPOONi9WhzUwT4jzUJh1GfckZCNkQEkkF
eWTrYUBXiZuoLmD93keO+RqrU71iu6uZeAk/zyq4gPMBlemTgh0cHstZbvYPISYVuedcN4XYJJW4
LoW+pwy9BvG1tpTwk5ZaD61jMrVVD+4YymCo05xD0W87f2F4Ra7OC40YYhjtZJ22xPxBrvLSGgtL
2xBJRAe/qYYLW1Im6jRj1LesmYCOVJ+04BJHYQ6jXM5dAzLYTTeB1r62pCVp9fRZaV/NnjtxsGxf
N0DmeQHCi1xmS6BASfpZUTbqMNuf7HCYtnXdaF4Sggo2naqrLlJdv89LQ7nhwLexhyIk/jdh34LD
YlSUXzATt91cNhgbkEs6OjmWdesTjXY/jtmntlYe1LzRr9TeXE688Gq/yeqnWhP7qNFfpsC5rJf5
ws3cUELTAPDTz19DQifJIcliP8enfGvkznwM8+gmDsMvTBIVb4QsdGhoAiHb6oCFFcyQjC56KDS+
xTG6jeMyISSFrJmhve9FuTBCwJoR4PYFzlLDPoh593huyh7QKxmI9r7CP87h5BbGAJOYmeI9bIhq
4ilvPwdu29NSt/MdT7OzrrNubVjDsBtEN27pOmPc5whBraXC5QfPQyQE0zja6+ZuJDlaSsJPZtpd
twZVtCW2eCjQjSoBOWHMhxdL3KKAvW/EdBOajbV3jf5eHiog4i/Bxa9fux9cqfKl67gGMHELCTJV
5Ic3u5X1leZodX8qnZFW82Xi3Fr81SYi3sT4/Ou1fqwi5AsefQXeaiEJWAgrpBj6u5THtiUTREMc
fyKGIkg/1bMfKZ/+d0vIP+G7JZD+ZdnYZ+Op4sEksA6GyKNR3fx/LOKi/4YoRo0lq67vF2kjkrcT
vDMnvbmty3MMK8qw//USf/1auFTfLfHBw9sxnQmFMY0nw7nJa3/JESSOl4X9lMy/WYku2ncK9P98
Kd+tJP+S764Ylhcztzo+TI0TShSMobWzPqcpyjn1bKFx8+sPJv/wbwLPP5eja4dLVSXaHrXOj8t1
YTItDfAlhMn3optWtnUbRoc5v39f5l9HhKBq/vu26j6vXpv4KfvJWYOf+3rWEBwo8Hqq7n+MDzyH
X88agrAC1cLXS18V7ZPxrbGqc0DRaYJS/POD9GPZKb42VrU/LMKdHBzUnBLohRr/RCmF8uqHewRg
AQ5mU6Oty64kjx0f9gmbwOBiUur5OOlVJXyRIlo+VjbOqzd1WQqTUqtTO97uOkqLZVdaaToWlMsJ
O5hF0zHQmH84RTDuGjFA+8GS/RySx04IUfDUiPQmDdL8RFAwrazF0nzdBMHPQao9gvN6iyqHN26u
gbwu5NG77xF0AmpHe4m4lcmheb4wg4AQkXWU+8z/Z2+yUEMlSdhcVMikeZu452hS0oNrxcW6rcbZ
b0yq2a7GjpflRDXlrkBlgyLswhjms9SMz52yw4wVg8VJFZdpiatrDrW1BUY3NWd/cm1UAx2v4Zoa
DzQPxtB64o1YOz0BPYbykLF7V9ZUnNlRfyssIpiCnNkXM7bKC91ZuWgS63kseNHXpS22dP3eliR5
JEahzVfGIMCfBChsK7g1d8yPCYRoomOIoHbfR8lrFy7aA2Uv2hrUXv5gZfXabjOgMoj6kay6hUui
WCA21qgqZ0Y1qecmrattHGnAl5veOm9s+8rJwuSGWnA/RvOtUpF8WBo0GlWnvLIthABuQGi0oxrg
Y0pOcUvKTNNQRzo3c6qci6iXPbMmMh+GCtZhoOopjblZkM6UKzNl8tI0VoMtnbk59OX4OAtqdsxd
IkCEk/CbXM9xFWSotEhRcmFoMPdVN2u3itZn8Z5+JYD+oXAv42EmNbZcHIaNLhchuHSZOzL3o4M2
CDc915BgiTBfbgxaxtP6393rfSik/XL3Or4WL+Vz/DOhp/zBr9uXpv3hgPokbcVgG3N+yGcxiCuW
/QncRqqBXO/7uRAIdhXsrm6ZWLqk8+Hr9oUr3vzWQfknbRLrL29T1ZT4c3yeaD2pcT70MOysI7xN
C5VLoaBm72JC0YzlFTZWuEpN9Jm9roLlTPxmJioMEUXVXLsILK80W6r2VzY93uswdHOHAeuMg6gV
zefAAVn2bCpOJ4Pdcm5bbDVQLMsVk4tlG7ZUhq3hGlukOGRENSM6ly6mz1wprt8I7R5oj/oc1lnu
1dpU+WVkZ/gbIYYORMCtupL/Vrc5R0M5bx7hpyOzDommWigNzsbCPksSmgyQxYCZ5bTte2Xba8gx
Jw1TJ5uEDD/UkF2TuK7MxzksUUHZ5iZyjeHCKUi7ymXAliub+s08R0QIw1Rq0ol+BuwmfeZ4Ap1w
WWlBA2tLH9dYvNtTgk5jBdU9exgcc74RAhMwes5WSS9ieIlrfFVXCfBGOOsCcgDJgA4pCGNcwTtE
suCAIjU6ZHrOYI4b25ngzLHVnRU88itTj6c9vlp105q1nq6wvhN2MqlkblVwIvlaFPIUILqb5Lmi
OyRAmdF7zcGQQNaSHEYnsbdFC094GtTLsoqinZvi4ggUhkyrdFliX1HWRcA5oOBwnSSI7JtA7k+a
Lc+nk+GsW8dGaJlE0YKDrKiCG1S71ZYgXzxV3NjFvmiGYZu3ZXwWWIpzjI0Rm1lHdFTK8QRuopCJ
UqKPHrKIA2xE2FTYkDo1sinTTnAfUkGEdEA0lepiQ8Nkcp5JA7mTAHOTOVYRgVbRYq5rPewu5xxo
SC5Tr4zGSZGtYNtXBmvfDGRjaSYpWXT6b4A28zURomXIJC23cTwxmT2zinnUXAwU1cgf0Gk98L1m
GDXjOJiVcgbB1hOlnukn872j1xBMRnsPiIGntWlIDhFQMajs6rrnRrskGdvym9okt9Ioy7VSltuS
Dhdn2qXf6lH2mA32ulMnQX2PknqcZC7eEAqcuoGDbjn3ldx9wduARTK/Kvv+LlD0Y1vZxA9oSnWB
0HfeaxbhP6Tx7RRz5A3bmdmtmgTBxnFeO2U6xJl9YOR0Pkelu7GTCAfCvLHQUPCZL525ODfz/JEE
8IMp4vOcqawX92ZwLBwszjkOCb+PwptonkIakdm+IeYzrfmSnMg+q0aJtobLvtJS5ynsUZV1Vnw5
DaUclLrNSumGnLcUmisr27udifahecobB3FUKjwCIS0b53GX+80Cuzat4aO3pR9q6nXVjsTFJCR8
GPQUJgSwOCchaTARm7I7J1MvNaO/o7HjcJO6pXUZAMQ6C5zlrarFtbn0e5vTLCarjYX93FOjCZVm
6iXD8BRZOhGqw6YNsRMlpnNq0+LaKbUXFyQA0mdpB5qvDQXNS15Xx7lefCU1vIrvOE9gbBiiYyI3
MPOFcooH9XmZ59tR3o8iTfZNH53g0l7mNARt4KLBVO7IM/DYSMliM9UrxI9oPmZPW+Z9EcisbBxG
i7KlU7IDk+nlFS3GdvIVU5UGkPjZcqSWvdqRp+mlkb2ZqxIWqkqgsVpuRQfmjRHNScO/FQ/hbgI+
kJfK+TDM/pzFT3UP2CadMOrnb5oB/BbIAhQWL+gyIAGvZdBfo9/hjiSPGRVOPKKPru11S64FygPE
NY1nBEhbOLy1jJgMwlzMcMKR795myaKtUfQAQxnVbW40nosLaCWx5DTHfccFS1fHF+xwPoZer0XN
ajn4kcI22uti3nF6uldFhzLNubGs6t6J2msZrNTnL8VcvdYqh3eir1a2HvtUfj7enHUaGhu8BDS4
oiudoq4c9GstyJmlIulu1JVKXQvPcae4w85pFV+NspsEyUtniruGv9Sm34EStIK9Mhxatfd5FC9a
1/FRw52hgGBBgtWB3HpT0a4BJzC2M7RnPAb3/CoD5Tl5DK0B9SKJqBqj0ZuL8aktWkxHyoFyck/6
HrAJJsgD+KKIUo5wg6BG0TQjQ7fsrdah3umLx64GplLZe4DemyrCmVR2za5w8AFNxG4sprsVyXA/
NurnsiHpVhHbwJiQzPVcO5gxZBfYncndaW8hCl4VZXaoFpD3CmiB2N45U3AZSMO0AZcyEOTgxM6q
6Ok6ZQhMAxUt4kin1IGb4J7rYnqogKvMjdp7mguxubGu2qa9LFrzGrerunJEe9Pj3hoqgAkExa4K
MzvPzBB8Z63iUgyPjdyolvJ+TruD1pioT2X+7YhodfTaUZ7ZSFmqirumms9QSRwUDbkVArzgS8hw
9KZtjclbtO4MmtxqgeWBvo4XT/ICwOAu6XJ7r9GPXLl294DGbqUBEYd9i9JYvFg5wQddfZ820Z62
zSX7LbTOJt2KsT2YC44LgaLSW1TxEJlt5bt6eptjd1zVU7pNdXFKUifZpJxpinLUfVpLu4CU5lFT
wOouJcqpRoJF0VbOmrRxY2QvTlNoQc2eSCieXyqFrAwkbx3z4Yr3H09Am62Swd70fbhpIqXwUHuv
0q73ctj8a6xWu0FxXobB9NsYnsdg+7RiN0XJ/CZvE2JXp8WfGD3PXXhoOvO2NNEDoK2BFwl7M049
VHHKWaHRbiY6UmA1aES5z5TuuCjjQ9tUz73TbMKkdQF3TMfBQOyYq7z+vjuQ/2TO9ePhlgYIFaIu
NMs2dNyyeHE/NEDGpmn6uFAuYWDGCaCV9FqJ0t90Wf7SPnpfxJJgNsB2uvahfYRwWLWghCmXk/Ol
Gbdj/zCVb6G+znGn/frj/Kzg1cW3lT60j8qgnMUSsJLGSM6QqRyM0pZ9aX1K+scYe+uvl/vp1eNp
IrHKQAz+8YNphCI7GGDD06A8dv2hDp+L7PnXS/zsE1EtUyyzjP6XHKPAsifVnavoxNyI4PB+njcZ
opQ83MZ4FrXuNw3Yn3wicG0cWnRuCU1YH04MAyYAbVa7+BSji4l1AhHDbZX+5jPJjskPXTdIk98v
8qGj0gZKR/wXi4DrXHXNuZRR/fqq/e5jyH//ro04dAvZrgUrNNXRkh7j8jaw498sIpvRv/oYH27r
Kp3Tasjb+DQpMBxMz41PcA7Y4B5MePTtpYZG6p9/LAT5AMxMxvKWzlj++4+Vxk4eF8TAn+z6qlZD
/Ll7O3j752vgXLQMyGsw9ZwPly5AqG9hC05OuJw3OcrVovTG7O7Xi/zs0tG9c2m8Quwj+OvHD1Li
7LHjmOFaUz0UBAlwUkwklja4SfqDga5tDK5+vaK8pz5+Wd+v+OHLIrWIoD0xJyd1UnC+fIYg8JvN
QMg/+tsSUpZgMkUgRRBagMXz+mHzaUvwYtEk8lNy3uyZpHr9sfTMjXkVXZseU2afqZH/60/145Lv
2zcb97fr+GHJCCP/1FVDchqslmNyjCeOTaHc/XqVn187g0sihzKW+eHbshYUsV2uJqegdj1NHByn
+821k1f/26X783MY8C4xw7ouKIgPN3bVaqgiWqJObY6+s6NRbT7GCPfCJPnNZ/nZFft+pQ8bHCdi
aCW2lZwEqCbnygxu6uU329vPl4CeI6G9FqkSP97csUihZi9heiqKSzRUEMW0FQis37zqfvYIcbP9
d5UPX33aDBFpY6wSp88ZDhZd2cj8Bih4aXdS0m1m/uY7+svH0nAxo4hRCedDevNRYKy5wPJyu8xO
3bCtm0eS6erl+h/eaB+WoM32/f5WIDDAIFBnJzyFMGxCPGfmby7bX+7l9yWgw9pkFMr0wh+XSKYp
VzJOWqc2e1aWPRkTv1ngL7cyC8AjNnlOaLzBsPxxAbZOexTES5yo8/Le9KJkD8l8Vbiv79fq35mS
4Cv7+5nSgcKj/clAiR/62pGFOIrQzASkL3g63mOxvw6UEPHrsEgtJr4Wjw63+FfnvfWH4fA/m1Yp
zdJ3gunXhqwp05dIZZI4Xptp1D+CbNk/PrcmPV/mVmAB6AhboPiNDxuQCPSOusEmM35R9OYOAzpw
FK+Yc7GOIJCQjZKwG5KVlpJTgMIMFtaYXakKmGbcrTmuPNqpXmerAYYbx2pJaC2bZT3bg46e2mwT
fdO2wRmKTaxdZVYu6VWJxZ5mGPL36HEatQ5hjH4xWyRYGNKXv9gTHuk6+oJoGr22dO/T06Yzqire
hLEfKVjq5Rp4+hHTfySCe3lEig6lmuBwzN7xAIRiQAqQzAA0yziG1zQSJ8sre6Jcj4YyW7uZcKdY
pjyBjBmR7JL8FMgMKC1ZHkOZCtVZeeCJqvDbCYUTcNNdnSi7GGANXeTiiyrTpTKZM4Uf7S4meEo7
Ahk+lpwjJ51UKiTrCFWy4FYQWJUTZu0SYJUsV4I4q5E3vkW8lYEX1T3++yC+j0fkuPXvH0Ty68EE
e9lT8/TXx1H+6NfHEegdqg7AFcwg/jOp/e/jqPFPGtMPRqwwnqSQ8+vzCAAYYq8OH+NPww2vt6/P
o/UHRmpdA4eHQBWAsPNP5ruQ6NmQv9UePJAOA1v6/ZCqTVb7qCa1RSiyrDFLzowN0kQ51CQLaqYv
XjDdmELBJDL1SejbFznWY9rj0UNOojnsOxpk3ZZn7MLu631iKjDhUKMbmAmzxC7P6eKUl0ncfJpV
495x8bQ67TyvHIUoQDLV/4wY6RY0PzJqvUzsqynUQfA2i2y7E1tB6oJjjuoGptDFEsUDIczGAN4M
/FBqOmAd1I4wJHpJS0I2lQjBCnCTLwHMAxcQ7K4nL3OtBAZ5ZAw5ZsBDAOBacx1Jdu8wqHdIhCC7
zhs2hXbduUbqWSQFroDzPhMsFuEg5ffWLl1sROjlikQl+dQmz27sOps5oJPU57QLsjnaA0kI9lnF
g0xNShCjom4xumYH01TGcyLQyKof2OiMJrmL6xyDZ9YJrwmTyxLtO/5ySFkLxmOrv23iGqdAWt+B
Wb6kF0zwt06E1RTXvl4H/YoeVL8uFCQ1o6HSlmOMs0rr/sisiJPeXGY+vXBJejuDBw/odrh2kcuv
Aryh9KXEztZrXElp/DII/RgWy8Wi0QtGdakjQG/us46U+b7sV2lcnfeRk9Ch0VwvpLJSlqnzSub1
q7ZMdBSkib7ONGufdNZVGtAn1NETrbUl3NSowvxRKZ9rjaG0prYXmo7ksla2pZqf53l8KbL+oOsL
XR2jPdQD90zQt6c6thgSkZdCH33uNwYkqLbAV5zAV6n1o21Gqd+5peLV+AV3qSjWaaXA/1FO6VS2
xyVltzThonq9Y11rlnZ0q0wmPw0TifXMUzTynFZ6uSCENdAJJ6kKYn4M6KS3t5MLmR+N5TE0gse5
pvucKQ4DPd1am536yajrx0SnsSwIPpjrzlo7cXiFm+VcTPl6CaeLunVfGo7bNHZarmFr7cOayNjF
Ms+7vr2MS/R2V2VpZ8vrPGX0yqFbuGn1Cb9QTS+ebm68GMeiT6uzpHMfylS9JvLuxalmryFEpFpC
P8Q2U7XjmdspfqNqhzKLLuKyPJuS9oIG6mkoCHmq26jHn9CPeysw3xZL6Wmwj7qxjfvAHjBxDMuN
Zi3HsG6gr6KM9sPYhNutW6wLIzBrtqO9tBtawJhy9FNjPrRYbCjn3LvCJasuoaen4elnUoN2gLTc
ajn1i7YLBgDCs9lfsdmhgyZWjGEVyaEczII6OOkEu9HkIZHZ6Q5lH1/bwvaCObxZqgn9RYOPJJqY
x2gNwcsG+MitGwqd6SzCCj21tlkYh7s6w4evaZFDixrHj9Jz55BrmKwK9PfEAecnmLv3tlG8lY36
kjsa2TBl9mkpwnOEudKpgt/XlIwrtQlsBhzVF6dXcN2m0ZF8GLYJVT3lgO4w3tXikjriVeddvlGX
8bVvFean1nSN3a3a68XwKMrcrw2YZrF9dLLad6VumVksygajNfCbhJ+Lye3XSGL8ypm3QCrWatWc
3Dg7qFbiL22F87cOLhK7i9cQkXeww90zxqJ3Th+sWXnwdNe4FaqpbWG14B6qRbWppmTa1Ip2nHgM
TnbpXptzu5syI/aKbECWQTqMJkfHSBg1Rhndms8ar7qUnEaX+MioRvbezSi+iMDYCId2pPscV/Z1
2+nXKdeE9wCsm7BAJZ85J/KeGUPg5g8GqQ8OwHEOyxh745Bso7omzivJgFV0ykvMr3OctF6bsrNu
hiTLooa3+ng4GIooNnyh887UpuupoOubA6ABUCPWJM/tCMpxeGybcD9h3Q6Uderohwi3p8TWPKrt
AjcsJ3lnMpCwMEdQovpGi4OttcxIqyOr30yxgH8Xts+pFiHwbJlwm3B9hrpGOUN+mqZVjACmc7RF
iafo9bZHWW+m1cVY0kmqxIh3YLpW53JDmTX7JtFlZY0xgfDj22iZe3/stdfU5Ujbop6BG5Rslgwn
w7/11Hs9JTgK/n09dXx6ef1ZKSV/6mspxckGQYlM1NDQc3CC+SaV42SDTI0gBZSMGj5g/ulbKcUA
ysV0qMtj77tC5VspZVNjoV1B2kYcLCiyf6A3MSx5Pv+xlOLIi19GR86HNk/+Ed+f3xWVJg4PTsgo
N/dtSd7oWlRVGTAOvcs+V8A5qqlz1wu4DltyO4o8PGZlv1MBehiS7DG6nJh5i3q8JQ4TCrnV4ia4
QgZ1LQCDFJIQ0klWiAM0RJX0EIxw7sZAaCH6CmCv0190PVHUYngAewmZMMUXAoskDqNHy83WyjCG
nxronLsCcEmYj4FnByaM8k6Ufg/epJSck1BoDzx1xbqWDBRYDO0a2CKzwy54G8b2Vc9M6AOSneKU
FB05OJUyjSjfiqcFzIoi6ceuFQ64WeNlkwJjMSWVpbcirgBzRB6g8osDuiUC4ZJzYOVtwUfsJd+l
rcRJAfiSMJIrAcAkkgSTNMRmY1M9mQktzEKfyKHMOlCR3eRlTHa3QEcH+prjMyiT1stEH6/SCCfx
Epmc0dTklmnyifMZNYqKULDVwYfjablpgdjkubiCvt9A/gcMpQC6iQDeRN10qMpIhaWOT9wAihOK
SsoU4ORwloIe35ugLbB+r2HDLXdQ1NjESpPMjM4mlktydxiZJL6bTi+KZPKEQ0RdU6jhupXEHn10
lE0FxMeqgfkYTuXPfRBczZL0E+F28RFmQP/JcubNkghUSDZQaVFCSTdEbPsl8KBZrWCIhOTGZ1Uk
k9Zo81fAhuD61nt815I/FEAxqrGASDZRFubPHfk0Hh5gsi8kwSiTLCOYjo9g8vcWdspjnFagLyT5
CNybn0gWkgoUKQ4ElbvkJGlafZ0GaCBtbZjWiaQpOT1nelUSlhqNTIqwX577RqVIbHt31UsiUyLZ
TL2kNMWS17TMzhETJuy0yXrFPUGZ5oqLYuTdr3fcyqaRTOtwiOEHhTPaFsW6wVr+OEhOVJwTOY9m
J9t17cRcPhxvFMmVCgBMUccWmI5pD6Rh4axVyaGqAVIFkkxVG5mxAw794CbaF3Q3W1tSrLSpPSrE
lXCdHZwkoK4WkFeziwrHHm1KvqJ1rSviLDrjTCx0WCBlSST+JOH4+gjwK/o8oRPzEZGUYD17FWLL
5M86aH17zB9GCdtHOCZwTwPgr835E9NXGIASzj/FCmIpKDClBPenEPwZqzElhOlPcAJKWon5FwyR
D5juCFCWIQDQQW4XUgEaixJdxgT0ZfEWkxug6dG+0JzD4CANJVdgIV9AI2cgUqKjKoMHSCRGipX1
EN0a41otrQFjMUEFNYkFjg7bDr3vHtsTYQYpf7gb7lpSDvCPv1mkHrQy/qCE3FcG+XxWKvOThnxo
VQtIY/UEWTeeB+ssXjqCD8IJgiFlTfeZvIyhBPQKzROvWFPe6GPffiqnaXyYAg1eiaW2Q7PTY8d8
DNPSPOvaKgtPGfl9zr6rFeMxCC0tOCbMkLe5m3br3g0+i8iwNuakcWsE+HsD7pedUUJTGZMFdBz3
3casJghOjfrQG/1uQUUskcS7yFoChKtQfceYkD+3DK6cZbmcCui9SOxlPmJ+yqwwvetRZ2/yKmZ7
StFx9WHyFjb2VcPBdKeMpj/HbbXDiJh5NrWT7nYv+Tx8qk2kSTzFWydoPi1uj65ZJcPZiA99Opte
ValPYmIfLwtgh7SlxCgyr+uCVta2JIS1weWcqpo3dxguFST6q4JTRrovJOKn1YsnuxxAVGhMxG04
QHGafNHgApXJ9GWCE1TUs8xpNhFbgBAKJUzIhiqkTqB6y3We7hwzA0PJYSDeKoNzSX5l7A+QiSwI
RVgb9oFEFtmwiwRhptj5wBllEmxk5+NNLlFHkYQeNRJ/VEgQEiC5fAUxYtNJSNIMLUkfVOHlI8HT
GiSlODHdddbY50FVn0oJW4J6wLALO08daRdGBJDJDMGQNQ0mQVhNqVWeSthNoKcLr1Stz4kzPCcS
74Ry6jBK4NMwdWgxls8mJCioMpezRENpMKIqCYvqk8qPXakQcUDigZOCOQXEQykF53VxXuix7pmg
MIqZItS0b8h/Ac8Am8oa3MYfJa5K54iSSIBVLlFWxTz5aJnPDAm56mOO/DHcK7yz7M9wcNMBTKAS
3yClQq2E0KPm/wMWPwDQSnW+ahUKfiPZWjaQrVyEr4nr7kzgW6XCvwbguMhuf6nAc+VatP23nvyz
nqR9/ff15PlTykThlSF3N+9f/uf//Mcczs98rSZRLoOJEeRROOQ+vGNr/tuY04HdMP+HC6uruBQo
9L5Wky6IWiFDuyDauOSu8Qu/VpPOHxZuaeYqIHKoKv9ZNUlx+rGalBUunT6HiRPoE8l5/76axHIg
dLUuzMt0yMIDm1Id3ExTWtQ7Em3T7WjQsJltI/RAOq9DTl57o8ESa/aKuUN4We7zWcM6NKoYGJLM
UX1JP1hB6sHZzFPgmFicR9pz8j15phAhd7SXoF5NmepbecghC/2SuzivZjJgyZvB20KEWchQiELy
S8dDAlhZeScsa7CWO6DLFAPWYyY5zK0kMo8QzjK2ygUr5wiyuZbsZlVSnFsN32kB2LlbxIXbuq/Q
bkG1O5dL7ewZwt4ATN0qgKEVSYhGunuoQUY3kh0NCp0WVeg5QKVzzbwLYyjT+FailSHJ0wIENXXp
XneqTaIGD4AZn3rJqp4H1Gqp5FeDwIUKDdJal2zrpqnoAoC7rmVPIG00MieyixoYmRQ/HmsQ2Q2o
7G4p3jouNDTG0lvKkT5HUJ2xOdheTui0CXCb+gCdOARul2bDJoVmZlfQuXV7PlvAdTtNdDVLfnfU
JfteEr1ryfZ2aZuVkvZdSe631CZrY/1AqNI2LQEUmnqz+KR4LxSU0XMr+eEk/Jpr4pe2FmjxTDLG
6XJcEGKrrUfJH4/JBauCyNjozVsvCeWWZJXTY8LHYtK1ssUbUl1UoK57WUvC+SJZ54Nd3zoN9HMF
DHoKDj0L2507AN8xhtJLOojpZlikq0lS1IkwO3PAqtuSr55I0jouzgcD9DrU4MdJXa5qdvehEQ8j
cbzovqI3Sj2grWPqbqo2IQh33qWS7N4YkvEO7H2S1HeFLGUvqkI/AQg/RwzDdRDxNqj4me45nJYG
9qQWW+0XAu6188k0kXHnMs2iA2GAjl5mXPD5IejOMvgiMGMkpwNpLvaqe5d480rjm3oXfhMpRRi4
vOILwRtwU7o1AJrYd99144GUkDPmiXYzqvKFh+FqlkLzVHEIPJfic0ZJZ7qe6B7AwZUuBeqLlKon
IaFxqJbKjc7dtmreNe2pmAnnkEJ3XNpI3muE5I6UwdtSEA/4kWzrCDauOgz+CB3SUcNLgJ6YTNHT
6z3dPxuFPfk0nB2y5KK2CLbTxOdRivEboaQPhaAhq9V5e9IxwAgp3nc6bsjG0lMYe+TaGVgMSLHT
wRogNWEowH2jgf+3pSlAjP1wAYh2M0nDADnXxxQHQSqtBL00FfQZxmstbr80+A0EbOTVgAOhsGjZ
IXk7Uzhbn5GB56zLd8MCIIRHTZoYIFOP1E0YGww5yCqk2SGmqe4rFQaIpVvU5xpPRJLnAb0z/ttR
GiaKhX5gmmbmtsylsUJJ1O1Aqg7vaPn9Bla+WozgULvRNhvHi5gnyhuX/ixxm6to5FOriumLsDzg
2tjGOfkRpYtyNlmaow7VxpsiznA6set6R6lYtfSUk2j28yK/iszYWL8HWgEYPjhhT7Z3pW5jM31Q
h2bbK+3Nkg4D6VRkEkaU74VIj23fEPTDKIBUhGYbVNXO6lsUfkFEsGzZryuFikvgC9eOzpTfIpDM
zt1oOBVcUTxXsbvJS/pTISWpmXSfGU36o1FBHnNep1Kj4VrmZ11KqHQopi1Zxjf/VgjvFYLKrOvv
K4T/m1Vx8ZMaQf7U1xqBjhPiRp3kTs1+Z9v90HGiCmBmJsV8Pw7viGHh3cHwTsdSy+hc+75GQP8p
m0SujpVSWjr/QcdJvKspfuw4YYuTmS9sb2wFFit9XyNwGhmTRHeyS0XUD2HMCWyBqSVmc5+JvFgl
ZDu2Tb+xzZythdQ6PTx35/pidAiiC8ac4TnDKJmt6TU2cZGhqfpMrW5GGSTpECnnDeF8rmI/pHiG
3yC6T7FD2lJGBmUkwygHhZCJtH2iKQ6+SBgvAbe0Vyl56IXmdJj+H3tnshy3lW7rVzlx53Cg3QBu
xBncBLLPZDLZSpwgKJFC3/d4+vttuaSSVLZP+Iw9qbJDpjJJIvf+m7W+RaYlMS2154BU91XDWIt5
sFaajMBUsfYTiGFNDBnovGwZlWki4Pc6GZ9ZkKOpz+i1MT8de9wpMOC6D4Zc3LUIlukKDsiPpOuS
izQciOjMOXatSAq7bfcWpMXzIOM8ExnsibBgXGUy7DORsZ9LyPlF+0IXGOzx22xmGRFag/0CbDI9
LVF47uziCJb9GPE90TNTJOW6fjfGKaSNMF+nZJAGmv4QzFm3GaArrijkmMzJyFKmfHhwmIPkxhx7
gVM9OxZQBEGjzGDOGuo4vMfyUL2o9fg0L+Z47JyWGGrI3pmG/SVBXEQm6z4uaHYrDClmb3EPjHO5
6o1AB6rmnKNQfzLqlh1FDA0HLeM6TfvF1y1Wb4uLTj5sXFlA9XeGEr1ZWVBuxxT5d5+mx1K8dtNr
BfPTrMRrOxvllhZ5C9EOpTcyifLJ1aLiHp5alb7H4fI2TtHdwtRsbQPeJjmxiRznlcirm4Dne4+S
Qd1BEmB/3ATuxUQ5fpjdgOqiXxejLXZdQ9WpRrR9kenON0aysImIy3xEomU/Q8Dy7RjUhjGV7/Uy
EGZWhi6YcQGv8Xdp0j+SIZle8efnHEqF/zq/du9/kGEsv/DbUUc7hEwBUQ7KZ2nq5Y++t0P6b1A6
GbrbLgp2WqV/t0P2bwy6ORtpVdDSy57neztkY163aZUs7X+RYfyzbg2VAoN7Uvl0IEYcxboqR+8/
KJrbfuzrXMzjRS1vGxw0c2L7P/xQbn8/NH9EXvFOfxjeSw0mmm/BK/Edosg1f2m3sJOnRm/3/aU1
k0NsPynqxbWurbnTgttxuGm19V+/3ldN1V++onxHP3xP+uQ08cIe/JJUPTNADjhJfC/xS5dh2V7H
pnQOQ2dVNyIFA96KjUiAZtbBFFhrCPmk5LEOfmHZqO+Z3UDJlKtNrQWvbTjRyWLrWcj1Z8UedFDS
Ly57USnMK+Wi1C5B4mCRZ3kq16iGXKg2crWayyWryba1lWtXFGHGJqzichvMU+HFcj1ry0VtAYBx
xWF/r4yErLLLdYbh6Mrlrh0PJ4VtL9oGpiecf6uaTbA5c4KL8RqgfgKGY+zKUrslSmylO2JfEPxM
JR4eS7bLvaE8NnLdPBQvA9vniS30INfRGidkzH7arJwDcJ1pFYlypJBkic3c91z29nJvd6pLv8E2
tLgv60jsRE26kkbPXLN76K4LECxCkPJmKi9ZaJ46VbNvAKJaO5hQi5/3Rv0JwMFJCCiIZn6q7Hg/
peO5cYMbRU1v5kU8a5kLy1JRXGY/bKfxt5HW9pbB81yPlnmeKhPSl+EPaXXqAqrfft4Te3yrLjUo
qdqPp/k0ztOJVWfpd0uuclOOx3ZQnzG6rUmLlATT5dHKuFGZsmKw7YvbIu22vTPepEtKulUKzrui
IE87OqR6QgnTDqmK8TNbk/PwWHczenJFDTd6XvX7vh875AA6CNy4nk8Zebeb1tFJWXtzlfFiRs4d
BSyTvgiDbhQ1G63KD0EW35LbeD8OBRYwfi3E364dIgnsvHuDaUDLIJKrHo5rt8979vaa7+rCB1dw
BZdCeAl7bTGa27EZNqoZ+J1wVrmmMuQu75HK3OZBzbZrAtvYZelwN83RnQi0fTP2vlM5H8y08Cbb
ah4qqfxjSPGl4H7NA5etSbFaliCDRGACXhje1ZFxRC980sLIOLDdPRkGzO9AzZEmzMA3vEU5dDYt
9HRWvp1Ua81iy+un4AgCZ9dIOPjSUacrN2izfX1UCK0U9Hphx24NZ6xhBpvaNZ5MppM6nxD4rsUo
3WN0sOSd75uM1X4c9ninlUPaLg9txXSTwuAmZtSdsNYC4c5jHdAl944u8fmvie2cyzpLyKQZiUZp
SRsN2jH3rACE+Ndj5p9LT7qN/vzSu3mtXv9z/Ce/5sf7ThCkiKhbRsjKhMUf7jtqJk4eJm/SBsTB
/G385/wGXlo3HEKqYIf8UtpTg7v8CaQUlTHg39LlMWb86T6SN540Apga1nk+OeBXfr4dmrrNTWvQ
l0tVgQTR9I54UkQqq8qaH7Wk5sxzPpukv/hB1X9S++AlljW4OpnH1goymQTx6A61D43xbC3Y8ixM
ymhPO/K/SVBgrTYHzq2ahRoKOg6eGgMsEWrn0bBOZV5undDdEQx0IeEViKxAW9qEklMrxnthlT0R
Gdq7IoojUllUZ4MZnm1BMpNSgbxzams963InhAouN+K9ao22V+nOExOx21bPLhYZQmxmCgIEjSFj
4j9vg4kh/Gy5V+RF9yEfC9AyhLBbsATCrFT9uTPfxzJMzsvSV4gzeR0ia7aL0oQe4bGeIrRdrqTq
Jpy0xueaidadG6sdMpbq0KsAlfWKs6Onn/LTqPbizNq4dfaJADlfSpJX1dBuGXbgTeRu3E6Ifja2
GsmZ1a6RgeBczx7SKr8xM22vz+XRUAkb0lhuB2h2iOWDJBOkrJXTkgztUdzXWiw2s9N0nsLqBSpL
Y16cjOtuZEFYLtwiVssBgjqTG96ATlB0XtsFL23oPCQKPtqYe9Kcg3dMCVAYsZfC+8n91kpYrJSM
DAmJ2JVR0K4g2agPs+PiDp6sfV6wsDXD6k7Tsh10A9uLiEYiBaWtPVDlAar/gXRONUXal7ibuGBV
hrxyprSANWuF6edGK5gI1jJgUln0O7fWSKe00nVksUxB5hD5Sqepm+HrbJm4oxwMQlDshRw9h446
eiOIzn3FXHqSA+pBjqqFbifbrrSyete0YRncO+y/D6Bx3kJ6y7UTpO5hqRDuaFmzb+rwoVUFYfWd
vjOVilzNToBx7q31ADzSGYqS1JXm3Lb5l3JCxmMu41Gdhg9Vy6hPLISc6agcY+b73hBUH4bWUeEG
Lae+mJAfcnU0TsKG1EGiAP29G61zsTh8JJQniJaqZ47LLtEZlonQvNhtyOUL0iBOuGlN6I5u2m4T
Wz9lZCsSa9gRdBBcBjV9REKI7cEK9qFeW9uBzRjVRx2vm6RsN3FUvLpqSveGsDwLydZ03XORubvO
YsQ62singviRrWrthUoIBFhX34y4ehpSx1dCQOcNJJbXobHWSJI+MtADJdA5dE4kQGmzSK/QG1+w
Qx1bzX6jYjrO1I6LRkg9ukIkm9ZlIibkXDQ5Y3lizipbHI2pYQSeqCtFj+6GUJWyz5nZ3UOqrM3Z
OVYxA9EhaVekzTXMQ5WHeLA1lGQZ1YSteHrZfKyU7i4RfeAVynIbWYA2BAR4Y0RZQY6poojdIqko
XZCAR2hw9DbpvMoi98xMEzxCeqH/83qT37qO33mwGeem+fLiCqCdHdGtAjYrJHDUCknodUN96sdl
71bxJ9SF6irQiJTLR3dVxcl9l1mf3AZfez+BMy9q+wm0dOFpecCHuIzYFETdOq85C5nSZ9O2LRAr
/O4h/efG1RCh//mNeyrb//p/Rfievbf/efHKL/128Wr2b4Iei8+8ji/hp2hIUiMxD+InxueEsF3j
Tv528ZpghuTozMHmwXD6x0aTqGQcWUK1LFAsmBDF35mpyWv1x4kaYRU0svS4aMbYNKm/XLuJYzOG
Ltzkps/XCxz2INqa9fMPP5g/aDVhNv7Bq1AmWGhFTMzGFj+eH1u/OmBdZy1WctOVSZz5paMWbMQb
dC6BoafrxMCxX7LzONmhQ7FaRYmXLcFxYC11p1bRNYudrW5F8WlUVXZqXEKeRrjvKtNi1VPDaD/q
+b4fkLQO7q7qtRPy1Ws76+d6KY8TXJe4CQ9qwucwZ6AF/752EayRJhD0UNtj3X3TJoi0aED4wy4F
45H1X+i5GuTYgkz4hnBxl4CEeTXZNEIz6ZLiMCpLvg3GCSCMgj4ncfVoNfVLSQYPQyKv0c2nwHDt
rZ1ZxoueE26poObbxmoaiXXU11WGprdOn2kNgXzKkeEudAlT22sGCTlsHJwbMbczI3Dy4Ag0ciIS
C4zKcJ4WvRbgnfVs2yjIrbdaOQJE9SoNF1zt9VbezQGlEQ4Fp9aVM39/hZoMIbKkxJZSqsEU3ucI
a8io0xlL2k68MzIzPfRTLZxbXq81Xqw5JHuAmx8dBSzmu9JurOk20pDL1uHsHt1G2AdIwuFHoH7m
82BHIRlQ83JvdgWCG6dkreYhieZucaKBbZ86tu5jWSI6FoUJgaEn5VCvJpghhFZ4dRjO+0G3hhu3
7wmV5md+IhutfW1ZwE4z6TnzBB/JreO9AtJ3bWskjaL3GO+WgV2ISjfolpp7F87gJlhwxL4zu9Qz
FS3nlJr+UGq+XcfPTm7RsS/54IsatR7ia50FLe3llE3xQSx9tLZZJW27LtO8wsVO0UYDUpS5brfC
GHajWQAwnugvQ5Y/YKfyM5m756Fpiw3KwKtZWnsn6hM/ENmuZKzph4Z627rjfafZw2M4TM4XWNrs
jFNfjJP4Usa9b+UEfAe19qAq/Qat1EbRy3TtKkjcHDY5k0Oqhaje2rZ7L+LmfU7mJ+xSfmMMB3fK
NxwgMASXrTmp59kZfLQ5O5zLpwVUdNgMn1SrZ7WrbLJRY03KuLGfPxc0tWH5OVB7zR9FZmwnO+RN
WMNHS8SfskWYa9Gm7YGtHjimcTnpuc74WD+LqofglX6s+PUhoGbX49jrYBCbUHd2vbqgcmrXYc7s
tlbrFUnheFXaQsUxoyW+NrMksu1bvsc7q4ceOMVLyA43IO9tUOMzKicSrgL92mVFex7r7hjqEw8z
4Y1ZPTEDCNDxOfl8dPkQqcxndbfxJxImncrANFI+E7+NW8a+7/XwWtTVyebfB9095f1wjVw2yHq1
1gPUbGE4kRmSamCwQAb0DVVs2Kg3qZK+wDp6qZCRxS3z48w5JL12xUqC+QOQd5ad0V55dVbPx8W2
dxXBOsCV5s91au961/JxnsdMCKbVvIwHp4QaVC9FcSCsFL1UYJOhghh8DokmtyYj3dZutQ1a6MzL
rNSbvz55/wBnCadCxZZK80ADx///fPJGs4Z2kACPm7JO9fWQuTPc5DlFBDpkpy43GEcPJDeWUQ7e
c3nXqrq91nWqPjiLkzEFme76JjmpU+Cnrv2sTh2hL+JLwfQK3SWQ8DAhvZSt+6ZcJP0oICkksFpv
hNKzMutB922n2xGv9onI2d6Lk/ZJR3K3xolkeJTkMifCG2uvnfZaxZynCwooOs1WN4fbTCf9Pbff
5iy/h1l/6FHwLm12YG50sqvy5LS6Syk7k6Y1xzt9gsnQDqAYAmK5IloatjtgkdT2zpx7zasicVAj
l8+1Earw62FCJc30mMSDiXYXWYA+6xczhshTCwFUM07PQ7XcRG2yZ+6xtYDZ+HFWIxdLEXgyylzl
TrhRSAS2wuqEznRY2YV+ibPxyIIEg7YOxr4iNbWcW8RqzSVNsjvIxHLQN2S+IP3IM2Q91zS3sdEO
fr4gJKE2fTRnE6blFFM8AwIbeJgmHlAHYUSa1jLlcsvEiuQR7WOSz35uCE+45m7kHDLa8q107ZNa
qwP9l/IWaOQXVXqNJQF+W5rl2l6p5FnWnWJbfNBVsodUlGHk8H2cc13zknZO14RLXYzF0vyCCM+V
WSXOjiFT/1QaxnjEodkg4h7z/V8/qr9OvClEBNwTPNTY/RxStH5+UFlWj1Mz5ARO0qAayQHR9u/7
kM/T/w3fUchlwP2Kv5h4w4e1mc2jjbFQSDvOr3hEQ0BvddwwvMkEEDRxQRG4i6u7ZmQy3GReLPCz
JOu//q6Y//9U+vCN/PKq8vv+YerdV2lXmYainNW5uAc8S9PPP3ArfghNag9IFYnXOdazCIz90BOu
jdaP2r8YZVpnXHpFs3woFfvEKFj1sNtsMnfUPjmRafswGh4FvYAfpvPRzsyPIking5YZoudpKsp1
v9jF2qmU2teqwfHsYp73/WQbn8oiIZaLCKN1HMefM57Vda2KyOcEnhHVAzUbeve+N7MFAQjC0HDQ
9ywcb6O5e0tsd8el9NA2zUa0IyAKZo0GfhkESFQo2VgU23npVY8FBtqCEQKcHU93elSAg40HELIh
kwAXbH07fKlb4HptFe8bU9khF3qYFoj6anqwupLBdkqxFgdGhiAnJtyzt/bpkhxRDPnFHOi+kaEY
N4KUU1Z9HqQ0N07ysxNN26IZ1yxEeYLVddqFOS6Dyi8T0JbVkjh+kwXnCv9NaNk7rWRr7ITTfSRI
/Zxo+fqO8QipXqq32N2W6DHmUX35KsL63Kj5ta5yGMDwoVrtAMkLvohl7GxEJ36laY/FHO2mAIn5
0PQ3TK1NmZWzbxrzHfBWT14OIRqWuQ0r82SP2e9mmj99xL+6V/9dzv/n0yYL8R+ettGkxNAXnrbk
VNyGN8qmPtZP43bZWztxcrh6vM/6uEK8ci5exuNfP+s4cX/sJb69OANBFvO65Ev9/OJaFTlF6pjK
ufLJpjrpXrXBPKQdlWd7o67Vx4vinZ6HNd318Mr/ZDfs2leHeBPcGCC4/od383Nj8/ubMbDPWLCN
aKMs+bn84ScxqyPaJy2JbiL1tjKyVaw+N8Pvw+Y//XH/fGb952v8sqVbmrxXoghPYlm/h83Ona9/
/RP9w+8B3guYAvOr9/nn7yGfxII4CyJfqdzWXxc91Jy/n1D/tO8mj9+ft+/3IGbfm//s3OVXfevc
sbJLyQoOLCDcv/Mjvo/MNTp3Zr1oZTXpSec3/61zd2FOMEN3BDcNXTrt+fcVMaxfw2RxrAobhLCc
pv8NNYzu/Hy1fB2ZmzCbLN1kAE8PLx+fHx7xQS907ALufEFX225UJSvWLWa/dJUaTlAfHRWnyqoe
LIUM1qCo0Mb292pOLeOkbIEatCNxpFqnqZiIpE1IT+5JQzdBWXjZbLQbXeuY1JYIBqehrq662eAE
ImbmmM+hRfJY+cFd2EGBvfxcYAplobZc87jEozWWOK+qgWCQ0L5QRyJ+LRnBhhVUv7gcWaY5qFd6
7AioYvVraijZfsjZheWselUQ2zsSUiZIuXhcCBssABKLwvLiKr1Dz/g+pvV9OcSnKh8bv1GFsk8m
ZTqEkC3R2LnVRe3FC645Brn8LQGKNRQAo2/qvd9KI2YwumcVW2Vt6NkK7clVTZenvK8e3aQ+kpL5
whJum1Q5b3YhzadwkhNXNdYKxqZL5bwtJMaQ5wT91NGHI2qaEhAFRazSM2eLSPN19eBzGhntynLK
TVC2a1upz8AEPiRxXkPHrAIvjvKG/en8aYn1Gw0N53p0qrs4CjNPxXYN49QAaLxV+gKsXcTrBerI
3ckO1dEahCvlVmdgr7rjVlcJotHcjdYs74vjxGvLHhAs03vb9PWrtkVxW/RthcU44eJyxmrnhohL
QeQ+V3127mE/+zX9+DDpFqX0e2CLNd5RNglB+Eqx8qW3w9K3U6vwO3MpN5raZbh/9dugmcXKFsj4
sOJfo2Z5dWoSRzVwv16Ugd8jroSLQJS09d1TkpTXXs3pFkQF8DjDDVxviOduuJuLba+J6zSGz11B
YkmXt8ewgY86KDlgZ8Hj6rDlIbA0BGAwL+rOzop4XeYtaqUQvWNcu2iAk1vmNzVLC3EMRqfBtd5O
fmfFr0iV5SS1fLUno6HXwHbSKsGyC7rSREScpvjSTAp6fIIrVVsqfzJDE0F4eG8HNs8UrmIq4Pzc
BVh1qdEYBU2LsoprG3+daR4zZbxCW/lY2EawKqbcWVvEHedC33Ez0X6GLnabtiWmXbdwHGl7VTKI
RUUPYsGhRa4+XcpJ2TcQRVfzmH7uk/45yY1P1TzeJmaPwjXM3zmkbho9JN98dG6G0VLXieOgSmiL
AZUbStjKeEuwRlJPRUxz5k9j4t4Qan3PeCLxyMb5mNWdirzUCjf4uRKMZg15pAFZQGXNbht5MBFo
78ky1DtywbdLzxaLFbBgCQAe0w1xPUYhGmXE92sWX8/UqM9ag71RDKjG1eQFgSylUleiCisD9HPk
GZEl8pQ0ylELhwN8WcqAyVqLqDoEZAB4cBe8wdLowV3lY1fPWzspT2WTZ6vRBncahfaHbtEhcYaG
uxsqVllt7hIky/h/BX7AvOhp6Sh+DTT07ett8M+1KBuUP78Wz69NXJXtH+2S+bpvFyMyUQMxqM0d
BnpJyNye7xcjyCV0Lw4Db/huNlfSt3vR/g0GkgYYBlyW/nVs/f1eRDrlGKCbGA2bpi3dzH/jXuS2
5d77dxHMvUhlRt+FcRpWAG/jl9KPxy3V7UWPLrmKbvocsZp9mTQ1ckgIL4rwtsTMdlj6WryIyByp
25QCs8A4QWIFa90+uZFZ3rtubC3AcPuRkO/C7p5bo9ew+OET5vllS2vGytOkE5k0hYvpZTrSI30S
t47DYRZql34gXCabX8dwedWjwFzRA4nWIYhXqFs9Awmiz8iytVSsp4FcP6U50IDAhWg5PZnZtV6o
zq9p3XDqoxJnkRvKKHS20zM3qucKR4aYsxQtOOSt3t2bYQOnYCTkLBd3UJ/v8lhofmowQAmmmwXS
gO8O2mtd1PeVob9AOjFWJez5TVEk/QoG/rJF8JJ7jHsZopgWOy77NDjtBz0nFkQU2Yn4smMfpf2q
DnTHN1sWY2YTohUdK0RRS3pHmfBYm0t1NhoWwOheNHZ4LG4bwv9WoyntARlOjM5g5jsVYXYqCCZe
7OqDIdjptZpa+b3avC8IRBDjSwVO2++yNtlCkd9pGCEr207wGrqeaQJzwOe+wWXGZYPAhDeljV4I
r38XF/yTOUxoY93yqYjSNxxvV8ckYq/KPmtp9CBKloldl5ingOUlNoZrXOHhHiw78rASBauQzJBQ
YqbKzLyLhHgwGxJCaBffRFkcF6bh1ewwjVQdxp+FDcJ6KBPuoulYELvQcVevzLLYZrHCkNHsF6/T
BqwFxVMiWoY/cOg2mCLXouruC0uMnjJyXkaqszFre7jppd/anlunwzCy71KRPzG1nvwm7a/LgLsA
oMdNAX9cKg6wjs/9I6rTTwGXwk5EHOqWqW7sxnlG9PHBJtBbb7TXDKnbapJvQx3ulNnZ1MFyydIY
262+cYNbHtaSQJj+lLnp7TILBBZYfAsi0DYNMJ6ViRN1r1bzsRM8dpqVnEqdakQigyLFeVZszO6d
BSZDS6bAUxoZkZfeWFV+MdzmSPLmLVtpYMjSYxPa5gYixYtJUkFk6Y95lxEWWwKoH8RljkcEd6I/
Ki6TyaHGxRm0D5hRPgllOjeif4cf/tB29h6y4ykZUu7TyEZInbkEEZf8HoIkf0NczEdsCSGsTRme
hEJc+Obh3Y/Rh7rBFKap+UUPtFu6cQRP6SdFCTyndNWVHWFdyI38VgZh4Z6MjojAiudI0IFlM6gR
RS2yo5L1lWcR0r0KsNR5wG1exyAgcXvOrlobfEAgNyPLYgpIFsXOdZZTVnTnXoMp35NcLvJXJCWQ
1HnRUb8m5JtngbuPqu7SZurWNMydUZHHQ47ouWegRQi3U2zmtKCMTeXwD4uXFR3cvjOOsdYU15bw
xfYwDZqcOxeIx3Rj8V23ZhGQOM99DtskLHMNdy5D2E2dqR35Drz7sCDnoJpM/XaazQPtpnYT8cHy
+J1bl8Img8saGn45nT09L3UR3jXILI6JmVjbjh/BesyUbKdhoVlV7J+A45BOTjSH6KJdpxAJTao0
Lz1XqrZRElBK/1zTX70cJm3jn1/T92X2+kdJNfKrvl3SdK+4LjRgrbg5MG/Son6/pHWZ9wsdBOTa
vxAh325p5zf5n5KWx9bZYIXG1Y5lp4v++/8Yzm+qwQaRNYKpo9Uy/17QlsPf9PMtjeBLEhgBmNBb
k2b3c/dqOnnSmL0+X5wubG7BkuV3sVbZHzhx9QNFMBNpDQ++0w3qGf5QAINniPAvD8uT7Y7dfaSW
2XZZtPgo8LTTYnW4k+I6WjNnu8mk3mIwtOBkWbikMFLw9VACTL9HBcPiqJp2iuMeJn2BjtFFfEoq
I/0cQ03Ykq4XSHcjt1XVTi95FIUHxLXsM5j2+zrxjqvWcUj4a+YnV69pdYzXOcjtQ09Q2aajujgW
KdEdDVtZiIqYAybSL1Bb42iIU/JNBNUGit6dIShtS9eg6Iet2OmwIJP3atZG89oVuV8vS/gFONHH
aAoDMG+DB6jikKCkIse2SPf64o5eRz11G2rhBzWdD3FvNNgciqtV1uoaMZiy7US4HJawNw5RpNrr
DESbptTtnnGy6zOvNbdpVpjrQdeDndAGZxUjiDrUODHIJR+uS4MGqMoo/9E6LSvFsoCIOSXwYfcm
MawUoyw/HYUx2F08VjDeY027tEQDQagkNLeO2kOvJy91ZU+rPCMwBxVistaQqEUwOjovGPiFKSMK
tkxq2QJEbYmprGapcpuQu+VfdW9SATdILdyEKE5JUceBwy4RHqGYI1TMYxt1T7b1NbcZK6TTtNUR
2enJ2LknUyrvGiR4Q63dlkjy1LC1vQyRXoVYb5KqPRv5XiB1fGz6yQeR2r62tQiMKPJji+zPkvq/
FiHgELGHb8np8lKpEkRXdbGRDRbIBwdkhAlywgpZYaShL1yk0lAE4nYOaHSRIOYLpkeBKNE1ERks
UqbIVh73zCN6icxfEDKKAPvdgrQx15tPhtQ6uogeJ5sMGkSQ3FGMp4OKllcqJFlbI+WpUyBZHoap
/jOhwY3HCrCJGDlMJxcKB5+KPE5PmqipCfo5Kw+VC1HT1prpFOKq3v9zGH89jKVY9s8P4/N78/md
9vJX8738qu+HMYnoUibLJJHV01cd7ffDGGCmSSPlwnjisP4hNsxAOUR3gxWEQeK/PHffDmPxm21y
QEvjHaWTpN7+jZZJ/xpd8EvLZAud4RnSIp3i/peWyVD0kXzjNL1oqtk18PbiSvXiITcV8CypPYKG
p4j3+jqpr5qd+j16G8bfu2m/V4NkW0iGD5ucpHOeSB5CXBoPD9wjDSLFrIw+BBLrITr81DMCIS//
yvxIgd4keberdIvtG2SQMp0vk5INMPX11wAzogdc9lhBEynExBYJvsiEeIV42mXTOzjX1PFNQCKp
jJK/wFiqXThZm6F3SuwN7pW4zy9D2ehr5l7UfRJuUjHseQzgnSimQU2uzmgFJu3iwEQZc046ITEp
oQSmTI2zG0SFcS4dd4HQP5oSrjKWUBoHCVwpy3pYY6tJdpWRozxh1EbtGcBPqaMPfVp3fmFV6TaU
9MhFFj+GLIOYtVERjbI4ir7WSfXXmokoQJRFspDikK7WqSyuWllmwUMI72xZeglZhJWyHGtlYYYt
UfdCjWJtpmqrZfkWyUKukCWdqFlbEU3dbqKvFR8gTry4VIGBLAcLWRhiNmcLLIvF7mvdmMgSMpDF
pFM1pJPkDJRC3kNRxwfTRmu8RwOqpBt9lEe+nWqftNrgMsXIY9dJco4GDpiA7MqOkMkId7aMC96o
Vn41cSmP3jSXiBGb9B3813PdpqdShQuV27jiGL95tmXhOVHOLbKXVZTHvlVld1NUHCq9+agr6SkZ
kS/Vev5ghNG47qQWHLqKHko3y4SdMursFFjWHOtrKAcGjnsrSpYzhU6xUtNxnUpSqWEOAclr0b7P
A9p2yTOd6JDW+RJ+Xr6yTtWyBNgF/7SUbY0lmahAJj6TjgY5j7Wkx4XR+kY0rXuJUs3nx1BaNKEe
W2Q5DQlTYUS0cCNuOslidSSVFZJFDBElXE8x/yWW/lUEwtUm5INrROLSLDf1HEl6nXFu+CrwV1tS
YNMGzNRcocBRmfCKeEKdbIHlibNWWam5/iImjVn7XN6PNkRndyZfMihaG3U02jrgQkBhTXcFu+89
D8K3rGRqwKfL65IZ6QPw/d7C2DHjfNXU3vb6ds7XpYbulFAdd+Pw6KuaSRC22nSgMKyO7lEhtAzo
EbDb9FC0Xfnwz/3xezGPg/DP74/76LXt/mDiJlnh3+8Pja2SS/3IQpN9oETtfb8/gLdgsYbfYqno
GuRW9l/FvKkxVzOhHAM5N7EtqvyF/7o/TPU3ZnCGkP4NzI9yUPc37g/rK0f/p/uDuR1/Cw23RQQl
3sWfi3kUoSrtKih/NbMTPip9u9LM8WmwBWrzWrlUEf45mJZnwFLMg2YkzjOrTGfRWh9B3Dt41DMX
5ANGqMwrtJr60XCZZIcLtBBj52T9RnTBOp+03Qi/Nsf5sELx4rOL/thaoMViTEiMldbtBO7TTs5z
17+T+LUeXWPNPgKGmFadOSc/C5P8ptmNV4hliGWK836XVM2ucd1jS1JkqVubRUfGTVYZQ47hJPTy
0cYQOepRT8lvxtto0V+zRt3oqvohUomEsgPmglWdz9tGy0KP4GnoLGDjrKkbNg626k5Xdq5BZFWU
3AcDqVATSpr1UE3Xgo8Y3US1YSCg7hBMqEcCVHRvccbFVwqtWCm5fXGN7E2Po2o765TccYhzBP7b
Q5OVX7KK7YBajCRqtck5RQHnxyGSWljrGWgRm33DVM4Mkxy4hPMhsrrCDwl46TBpH/K6gEVasrpB
xl/QDmmDQg6o1Z0hYUCr6rd6N11xQSpISbiiZlzM6uJ80ZRpREFfXDmiie913I9Jot3NbaUwhSs5
SzIj92ZhPCx5/BGCjz9mAGZjB4GXEccnAAPHpFa/tO0idgmVr6/H/byOWhFiYDOutKPPUcL7D1H5
rxYOHU9UJnhrPPlVYZjrvO3fyyTd/3/2zmw5bmNbor9yfgAODIWhXnse2GyKTVIkXxAkRWGeUZi+
/i5QliX7yo7wu59O+Mgtyc3uwq7cmSs1tLQeAZIeHo7K1sBiGvHn6EMDrgY3VZEzenCvHGrCJIVX
EqWz1DYIXISznHrCdsSu18e8LrXgVBpZIrZZoc54VD/bhs/PvSEgYLAe1bPyCcjiVRtHV3UksaAG
Bg98B1OYMHNAOJiNl5lmcbK22Pms4joP5VUV2S4lX02OKhJdUxP6xPxEa3LKQ1JF+BZFTmqQv2jf
TQmlZ92uMvQb0wQpYPcZvGf/WAdq3+TlvdK6bdHk1MIVG+FAkqEbCIm46aBhOv1c50znsqd3j1MV
vTedudTiYUsh6biKc5RNlnBnfeS/anRvCgKqy0R2Fy9JN61+qKbrtjv5WrQZdbkPhvxs2PmN2fk7
PNtnTTly1Y0dmnXLzhYKG3lHsvcT9HQnTlM+oJEPbCwEKSAd3nJ+0zzj+uQ5Zgaym6hipndfw2QA
3J9Z7hxL4quaNK9D7Kx6KiXdeFCQwaoYJLakRC+396FR2avJFwBwTcKkCy+Xw1bThgACnkXxHjV+
cGs84qg8poIhbA+Fn8SbrBNflN0KGjCTL4XVPVaTeptgRqyLhurpwOpvRmBpBCydDt6c0645jjrg
aCo36yPohfbI2VOtYq900eurylzkEOLsnIjlxlKlY9+TevG8bShqY6sEF7igr3Iaot2hntaeIou1
9nINiCjWR8vbYSEYy0VtsZ+61vJsVBepZ0Z76WWtWXAeVHHs7TwNH+tJmN0Zq9iuCEARlzFuZqoO
xCbiPr4AqPdi1MFt40Nwwp5+ECJXm1qrh62nOUeb5/+KpQgluqnzVhVFgwPdIZgTi8eEeqdlyGiC
3jk5B6vgw5zkVF3yr4NttIvn0hcvYVyb+L5i8I5T9RVgJhjmsCBimzPU6zpMvbqth+WYDKcRtuMQ
yXgDifxEwcInzVfHzCuegWF/nUiv9gMAhMbAqxuUDPaNNRzCcW/jx2GuL1+ipLh1Ir9ftBj617he
MH22/UU3ASw08kqLRzplza+TofO7BPbXpMsecj1aadPBHId4JewauFN9mwwcPXAWFjPNMz2moXvS
k1RfyaGYdy770GLViy3AWeLyZrI3s2vHTaaVY8tgrQOXpcUAgpRrT0SU1WnSsRTbCNe8CyVuLhBE
TYFGyszI2S7KlSsjdz0B517kvnbXJqvJDj6bNbOYJ2J/FWpcZ7xE9vzhXLZlIncWVI7lNEAJsiAv
Am8lhJ0NJYXARX9VerPe4+FqDwz3TInnicVSthwIVkm6Mpqs2QWqfXFkP65RHC5jqlXrKZvJj5IH
iB3TLKtoHFN9/plKgkOsJfwd1fSowARt+NYJPgNTsUDpA3ZStO+NlPcc0Bu9TK+SLKR8M7B2Vlzc
Vx0Zt8gdWFPr+6q3bjqMCNIuXiMedAsEwWvB/CkwYyw7oP9bfzLqpa3X+wDKK6cu7nDTlvEiTJK9
tEePYud8GXtmtW1smj0oTj4nkbphEtngV3mgw35HcSyDtaLCeVRiWCc6W37d8NA7sHdvtYBfdSF9
r1j8b3ONIk2HvP6+5Q2lkzQ96yC1Fp7bHlROFK5y5MFthvs0pwRkLHgIcmQBqp2CLcLSMc2lsxx7
XOM137QjqN8bx2D7ozUly4hc5x5rptai830UdQoHYHhaeyGiGyz8QBEKPL45iXMOOQ44u99NkFEW
rCBvzLqbMGNY2cophre8CD5bdnVucvdtEtbb4OibsnEeiyR4LILSWbVITn5WPuqFt+NifOmJpFux
trTwoC/1NDyadf8y93Ir13yXVMET1Pw0GW4Fgk2/5GI+xME8cdaH30yD/626516xfxi7X96oLka0
+RUo5GfpxoDCzWw7L7zRxmed+o/R2yAebc4AjW+/wqt+6Ohkuuah2+J/IIkwlX+XbtDRGcvZhWBN
lBj7/lVw2kR2/386+qyiI4foLLvxO/559LbiLm/oL+7PnDQkOVVUbqwujNclzMHMHdoN93bQOYMt
uqc+zo5o2nLr6J6LPz+C2DOS+vBzz6D63VkTw4WJMebu3AyiHfV2erF9cyKS0773ToWTKaacu0z9
i6U054STnex/Z1WbEo/YNfUtQDrCh5Y7eq/nlABL7wBN/8Dj8msyjA99mB1ckcDhq1EhzZ2MoPvK
OANQmGHQjVM4GCxX09WgC6abGSYrbOc9dsV972jPSae9991c48tUtxzASnBZzb4wedNwr2vXrd4p
+L5YpnoaCBaddF7HkMIgHOHGMnWhFXWKiU2NxUOYFZ9MJ6BXuwYYOwq1rFTbrQOYZ8EpiPZOad1i
JDpZqf8+MTuMOcdG2a/QMK45UTbTEH/OoMT6WL3C3L7rbHw8evx1DHhWRKn5yZt7Sjw16esuaO5p
PaHVWXFyqzRMAYunjAjSqla1M16yoLVXrduLXYNnb2mlYb3Wc7qhpgKEMJI6VCtwCmutdZqVaINd
EopmwbS5RX+Jb20jNVeDSWFLPEI5MSL45nZB7XhdJRHkE3xjiWeUh0mrbwv40ewxCn1LYpSHshGR
IQICKFRs75Qvx+QhDzQ3OJnNlH2OG5u0W0qpNm9fN3FtcfpFR1/TGif910bidA67c9jWydLKWMhi
kGob+VzPdpwsLVxtJaGH0ANl+BscUcbZ1aNh2QAJXgbmCEdC9MUpm8zo3uu9h7qNBnYi8jmJBtgQ
BB/OvYhNnIQKCuLo3cm831v4F0uiYdsUlMyOXeS9pnwaFfTeWg/+lG+7HsksE7PPrjFzzmPJsoD3
Erf5aQjHAnd3RDhfuFAeq3S4yUf8eZ7qyzuwza8NMM2jCwxwiRn8vTRCOo6hdK0jWN0aMiE4AcUm
Q7ONpStbtavJ0O3M2kkvlVOxZCjc/C4xR5wKRhQSBC/vCq9dta2jIexP1JCz9hkcdFDla/HsLiEn
XIxnNhWszC1GrGzeHNmRCSZr3iaN0P8O7ai/IPwvq7B/8EZREp1nB8VTJV4FMKZoLRLaHkBL/wze
EVbHVPmryGvz7VAWyVti2c0uVT3gy8o7JH047Lp5B1a3csKfT5R7wUxUf+rnbVkYWN7J68brBqUa
GLsGEryI+GZC4twMuoefziSXpXmMFo2R4ICwh+k/R/I3Gu8szfz98+hcvxAn/sUagVd9l4HIEgvD
Qlhga8sTZN4VfH8WkSXGq0zGlmcVjL6ZZ/X9WWThVUaYQe8h9cI26aedrvUbHi6cyviYSeXy+Pg3
MhAC/l+eRXj/sV1JCb/XFJYx26J/diRXjoF5g646xFyD4X5KE1Cp0MuP2lDpx9yF24N7YlTPIg4P
kT8+eQGHW+nGbxY2wBW+rN7FwZIyD1aWHmM3qcr1EEcE4U0nLB7wRZHNMqTeBMA1uVppXOVMkJVW
/SIIn723Svc5LHJ7RlFCGcjRQ3J/iDehiuJq3aZkxpZpLSDA17F0DuMc55XkepuPhC8dUCgO8Rz8
Her6q0YsZGHPoWA78rtFSE7Y50bHmoDHnmYBk0jnOHEzBgR5SBinyjiXJI4bWwfb0X8yrOkqJJFM
W+cVrTx7g6TyEPkTwgG358kgxlw0PLLMRoRXpXC2eqndxF0V35a+d2znGLQzB6ID2YDxbgritFqf
rEcnjtlNazF5VnUe2uasJYO36IP5RieowC6Kfo130uHsdlqtZDcy1l8Tq71EqX4hrJvZy45l7I1W
JdPJEsmGEx7slRM+Uj6xdFti2Y2f0UKOK8cqgNk2Qbw0SzdYm4W3gFy4kqOVXTTH7qn5AXTqVpO5
qgEt5NUcwE6dBUI51uvJdVamkYfnLsCYFpUYzTiNNu2gcQnsUaixPjU6+CZLKvbMJnCWSDvRObDp
HANJR5XivpHkdkOeZNy9vA0EF8qsSOCQtK7ZrLjlk+0rSC2GBv1kkeOSWzZjHW9/+ir+Ijs2W+l/
6JsfSQ+8CrYDcYSIFwGoP3+wSTb1eiIh+Zp6yHyV9uYLWShv2ePI+b3V/L953OS4+vvz7/q9e/ny
Cxl8ftX384/aG84+fgKcVB/IhB/n39w7CMoAmh8TNccdY/r38w+oqUkGiAUnIPP55T9mcRp2APbN
W0+EcwO6+b9QwbHO/OlTYs8MI0EMA6GaRm009/nXfwpkkFwsLduPxnOU31ijOzvox36BBeR+mIhd
6SNJTGnmV96U3vIgfx3LVFu62mQsekwkC/oVcJ+18tAk8gwqoEC/cF5lmJxSJR+mqbqHBvZVqWBT
aQ72aqrH+SaUeOOducRw2upmdlX0Vg8DppOLZLKue527NDBjwTU5eXBYbW6sAp6w4VdE88GKoXc/
JinckHF61XzOGrg0u75S90nU3tRSXEeeb+C/9C5ZMhDeH4JrFOwDQ2WJS6M5Gl6s8HKC+R8K/psn
tDNrUXlg2LxwIx0afWI73+Sh9lmV0VJit4BqcZ0SnZ0EEX2sk/6arRWHFvGPmM6/ypsFEw4PnnaE
WaNzkxgOc1M1XiYE/6jzCQ6XzXKqBnyQsUXzlSNgouZaTF7efsomcs5O77vs2/T0wPTCANizZtAG
n4h7gUrTd6uUdTyHGKinXk4gotXFGcsCfcd+qKkdSZZBVIuLdFUApBAgKVTVwUGvvjf6nlpFXKYV
Txjs9OE6jbE0UrkYxPB7yG+IlV9MGQJgdOU5QKWbcaunw27qO2cNdBTARBDAZRMctDN/3reNe+GC
j8tc8V5CpU/1Ri6otH+eBIs8p+GDE/rqvs3z5yh9r337QKsLwo5o9qNS0C1o33HifFeYurYOkxLe
rNudpE5DRDJSKRbqn0fhHLKSDrTMHl8qw67uRdbcBpkAmdTx9Oz3yhy2QxxzRts+y4XI39EHTyC+
so6jSoyF1Ep3P2pcuKbMe9C62mPLrG16aW71CNfQTJfw/H4/SRYUuKvAuAY5fmPKHjEFb6ModBe6
yyLf9BFSAfJptGTXtXqY0vRzaptfC4v3DGLOo+4VYB+Se9r4noKsvhk4+nFRebsknx6behb9inDH
Ix0XD20++dAeMqrrlhTLPnZo+gi4L+0YwQA2jzKOVkZUPrEdale+RdwS4061SOv0Ton6Pmyg4ZWK
u5TuJseEZpxyMspF6z5VLMqBJDinGnvBhElKt2hgGbVhq4/jMlPq2faCW65cG9fIz0BEz0OpS75j
k3lFewcOaSe/mpKOGshgk+Rfklnw78iKN72/LaJ+7jkSxgpbz03k2Oj2hOglTAX+7OZxIqu9xHLw
kvkUgth60i51glmslsCQd+OdM0FhGoqUO03t3mFoP+J4e5q88JTK4ZNlQizXE4peKqaVeakkWUc5
bkW6OOMD6N+lrFzWfmzSdDDfVTvjjo/xo9uCMTD84rqNnE+NtL5IiubWsdbfFD5L/6wxxNIPTNAX
fm4zV9Dw6bW1wXg0pDdjIm8TbMoLZjIi8h2pW4j0WMsd+Tr47UuSVje+URN/dW1/1fS6v8zGCotc
bB9LrxE3k+VttbEIMSEw/lzK3HjzR3pZgmS6Z5y5oif11ciNg0rVuIOLqK3bxLwOsXjMaZdmw2iQ
0zwFFbZ0p7ViXsAsXWLjbStISQjaEItdljN2Wi99UV8hrLGVM3DMGfswbG/rAMg5d8i9M1GfqrRj
kfFfGdHsV7ZozPakCZANwSoOM7X0XLH6eNL998g3/3HzfQJH8PaLGw8v+v7EJ2oisSQRp8SUZJAs
+dMTf5be2IcKy/nW4f1j8S2lC0OA3Tce2DmF8rv49rEStwS+KWKM81L6XwHJxXyf+TEW8sAXs2XK
kcCC+b2+cY9+euBXRSVaCqrCmwr9hJ120lOhY7tng20tRo9A8zX64Mqi59GgykknvxS54EGpomzr
jfdtF+QYgfzae82u1nLLfwE8EuvrHl+jdjQtQbm3EcajsQ6IdQc3LMjBh1HsFfLIwGg4IEdM9pRG
y7SR9O4CoXAtEHSjQ+EWfh7pwVEbYcXCOMAcu3PpouIEpL2YdTlAn10FOzsmhsmS0qn6tD4H1GVV
YGnRzNfA7QqKxTyHQrRWae92RAPyfx/9D9MHH61/mHZvo+69bqIvv7jwzy/84+MvfqOoWmAQ/N2l
8eO+jzmQiZYhk9v2N1n6+7wrftORBrjU4xoU8338j4+/Zf2GGI0DkUve/I35d9qz/POtCHwKaWbk
Br5jjjML3Xw5f553QzPv7E5Z5qkuKiy+Vxp6ESlCSQg5YxMn4uQslWklqxDYLWnjXk0bYxxZ+Y0t
JjYP6PpZFZVGfx3pR9vOyQviUlj1ZpMfOeWzy2jRGqYGUV7lUVu8tUHbH8ysTy7C6AmVFLHMl+3g
voNmhg0pPH8DPWYmTlRt8RySxJYLraNsru7LhZDpNjGNfjWluf1KjIZiGCuabs3GidRS4p+j+MpI
8WpJLpZOhaYa0yark5plfEluskz5d2Ysw1tFw0V40WM7CaDYu0Y17UE5MszVKDAWaU03D0z+QIUe
zTObSRYO09h7xfhCjLv7VNeGxwyAN5FhcXI6/dpxynid2VEV32vxhAZfdYnrYjdzqnrR1xbFe3Y3
Vs+JUmynuqxdTwScV8CNEALGg9eWMD5m1YPWDmkfu1kQAXKENpLNMgmHIYqJVs3qyRjllrUdDcA2
Y4jKtyomcYsPp3N35izCFKgxbZyGhxIkyXSy46rde5UXdbeQM4zNyBqNEtiQD2Z/ymQ65tp/J8Lv
+h9fxL+//96kL2+/IhKYvOr7cfBx/2XhBLXe/v1L/13/m2EF7Ox5FPKk5KuJavj9PJiJBA42YX3m
vBv6X4gEhoFzkQ/L7D1GNfw3F2A575r+9Dx0QexgUptdxCbxy/l5+dPzkNYsMJ18MM7tgEtetMDt
uvHWLTo69WRwzowqfkNiyilOtO6oi+QmZWmgUd3+qxbiqHJsgUWH1umABjlSVkC0XVbe4MFe6wCm
65C6ZBxVfst3OeBWWvjbvvNPtMPmK8xOr8qKLk43fQ7BpxJdbtXCLMVygG61S9zyYM3G+cxl52TJ
fDOl5oU/a9W3nE11r8KVqUaiyJ7CiTI5pzaR95Tikp5Pgi9x451E7X/SxXAOqYoqXG4KTOOfTE6Z
DT293SIW3c1gusWaZhVy8SYeqWwO7jO2c3dfWswIe4SNiAuXsTNCXKaUazVrLtreWuEbXVsJ9c5J
Wi8KK0M0LMVdLVlZjXKlqBJRJeoAybWIOtBxD3lBLNs8pPtCnx5s+YXU4qo2hxkRe2DT9QiILcJH
AvaJHiZCfyOXfadjoWYP43unk8k33I1rafR36eFDYCByUlG4TKn1JtWJWSaakbDuuY/c6xlqGxT1
Q6HZr0rBGiqSrTZ7KSyXtL2xh8z1CZ8ONifbufV4h/yIfbtWUC6Ypte1kDg+9NdkmHBr6MDVmfSw
TLn9fWaKp9iT12iLRFmwF2xKZTQLObhHUmt39OJikJr0h6iLiYTnFHxa/j3t6dclI3pQE8Rv0pQq
4fB56LS70lJXQzjctuznoEI8shx7Syl6W9i0Hy7rkizghA12bTbVV3ccL7piWquEPPFjuuppWEAT
Xvniq1ESCDHnWlWeV6VLC7kp5ux7vHNisi964G6n2LUXdV48W7nzxO5r7hUYXoTC5MKHHOvN3B3W
tcWV0aVffD6RssYoICCaGalDUGjcFU5LTQH7OjO07mzM1gHS5wJF4MbQ+5ZcME2zAGPDRa2N8UoL
lYc9gXYB6u0e4pY3aULxoAEGwoLIzNvWKdeyzHajntVy3YBROPhBH1ybqngYGpL/e4vv3FNGGgbo
pL4LAxTVqRX3RTWGFLXVcu/DB8Ni3gxbfNJYllUvMPwb8XpUIXchrfwKiZlIDcGUlnta6Mfjus2S
arrvPgQSGyMn0kXgJ+KS+xZygxZYD5GIi7VAYNElASIfyWXIBdrLLMKQd6KPS27HskefMTxv1fZ1
eojYzq2zzjfw61tPRWdTPD5fzNOQjzSNuQ50vXoZEbaY/ZurwJPDxSuRg4owPA/h9GXWnqMq8FbA
yjY6wpJKAEZOUDvXORjNVYL8lLru9YBlqkWWmnTvc4RMFXpAJhjo8Zq2+wghq6bGJ0XYSiO1KWcx
Y0LyIn7D4gERTIQ5MDFksUQ4F95dA5YftMgY0QIBbbYA1RYOv8DvXxtHPBSF9ZjpLlZ8xLcYi+Si
IuKFoyN6sMOBWM8EF5ic/HU/q3f5rOMlYXqlI+zx/5og6WLIm60NgBj1z6y0dW0lX0dkwTJ2H8oq
OrHYeK0xAyx1TKMOQqKjZhNXFVKRgQbG1AWKWfeNV32Ibz2ESH54KJIxpu42ce+zjoT2hBVyafde
uK4gWjnzxRe9k+sDd+Gi5cs08tVzuSU3oblv5mszfWS3EBLRkIwD/RJHYgRXyXzRZkht4YE5YFa7
jM64CK6DcgkJiMyY1j63dS2kO7eQVbxpFZbcstSv8/lyT8fQuDO570+B/6KN2VWIDqDNgoAxjG80
h8eXkTzGsu77XdkI7DkjQ54bVG99ARVUq2GTc4O/jzznGJblWwTIi5Wznt0Bz95puXnvmipb+iU/
jdT1KTNLcE/6rBecfu9mpQ+8U0E14elQtm/S7OFJZymftSZTrC1SPSCuX9N/jmiQBvmadVyzaT6W
3+bHIvy/O9K3OxILxL+fiOYmn8V7nb/UX6JfpV3n9eP3ycgQvxmWwQQkWXPOtKYfOgFLU08nVygo
N8AnM7vgv09GNr+CPiAR7h3aDWac2u9CATclLD9zPtVmdGJ7+q+YFACg/jIZYX2h04C+VJYMhGv1
v0xGEhhvKQ1i+1qC7dCeJ3gPp8vemaf67mPAb6u2xsg7agz+6F5cAvy+auL7MU6Qtj+uCfl8Y4Bq
GuCupI23A5kzXypo7ZpvGMGA39UkSATMiZPi210E7CEXk+TjksJ1qObG0n5cXzxsl3jiwJRjLCOe
i9F6iu+yIu3u8ZjE5jKFSHwJDYzGhIficFMCLJ4KVqg7giqcxrZyH3Ic42oxIoE/lAiNZHzschqX
IsedsdSaKl/SUurdWElX8pis4ifNLimfkQblZDwafRwhRuAteBJEJ3j9nlpmPi7HpRc5/lIW5j4P
9GyZWbE66ZqbXbtO3t1m7ILXtUpMQQFh3u2U5tv4airv2SQNNLFlkMW0gL/nDAvIxrYLlD51b3nA
4CSf2izaUc88vWWmZq3CQFCesxx1kOvQJKQd44cQlkqKvddZ7dau+YE0WES17qmN8JusE5YraxEb
KszXXAaZFLmLkU1mH9Jb0yShK3n8a2NZB1sXA9Wnpu7iZwbO5pN0G3cTp47BYpaV7x3gjGtpUaAC
koR38ybXgk5fB82s3Qd+oap9aBrKP3uRGT8l7K7vBokCShp/JkL32GLTnf4Bi9a8GRxdEd8ZaGmN
RP/u9F7wTiufu0UF8jdpFAKmjmZGdaNBq8602uU5GDWPoWWU9Xku+GHUahf/nVzfTi60kH8+uVbR
e/ArayEv/OPQcuYOMt37vUBlXkx+v85xaLFH9ECh0qU7w+F/HFrWbwiPtIK5LoUJH9HPPw4tissQ
daha1MVMhv+Xh9Yv7BzCwqbOolPwlXT12e7x03Uu4luP37a1TrBbmU1sYo0BqqJjJ4cs4sPL1rGb
XJKEQi9NitLzcboo7iEBg9GVpWL3JQnzpdVS8KBXz7GbGsYNqzjaWeKORcGi6XJ5pk8Ys6ul0mhf
taN5R75Is/dGo9faQkqtPWe+5R+S0aGSz0yS2LhELtuTI8dV2rzJPKC7qrbK2v5U4p7tANW8s0OI
VkUeqXSpBNe5rT4rF/JDxGirsd2L1MS4PU2MFWt/9qNMAsg6qlGoH83Zr1JXFf1FeU6rSjjIallX
dbtW+hgd7XaEGuNPpVrE0pcvqiHpwYzlM6bBW5iWGALUTWjaMzrt2U2Ct9hhT4VanS0JELyXbfYO
sAD0V5dV4gtY4SU0/KVZBf2eljF70+Jffu5Z1S46U8eg2SfKoAkFSi3d395nQ8OOJZPefxsip9s1
Vm7uQ80Pr4AezZGRmutapQYEqbLairlpA59yS4w1H5a2VxIhrwF/S27N/HDLlYOJAYirv/La7Ogp
SQWzX7un0banfSKwuQDHxzFI9aw7V2fWZIsWFs3AGFdwbLjQzUtPvsPW0bZeN+1Sg801utN29LnE
aE1GCbNfMz2J4VGEKN9JPwFKhllfGBKiXjss27Cm6Msa2HKF2O1kOoNubBfQAKjiM0U2yQVfkHUL
iD9/j3VRE1uK8s9xJ7gDRNWXfOzib+zQ/9YxghPmH0+t9uV/S37+HFF/aZKfX/n92JrJIjzCsJM5
EgX6L2QRGCEO7JA/cu7fZy0XfwaeCBYz37YynGjfZy3nN/isNvUT8xnzIVD9CxXKtP8qS9vI25yb
+NpsjkH+Kn8+tiQAcGxTXnnOhwhc4ehAiTTxyKZD/jlCol2bMYvLxsS2mibcACa73Ve2QVhc5wKc
Zf2hn7NOGbiHVaurXVCQO+L9wPxL2WCRq3ijUKViN37t/RqnAscNVG8spykaBswFG9JuOcqbsMru
7RpGX9VbI5vS6WpMiAwHdKrr0Wc/tu6yLMrPruFry2IwgHyhm6z1wYgOWRp+9gUtTglF2F7ChXZQ
5ruh1dQDYAK7yyu5o9ryGJfDuNGHfK01A43zuMCLMiVzVl13ZCMCUW1tvUFms+kBcusLcgFY5bE4
NTYroaC1tokuYV4FzduIzxhTadCtXTa/SyvykSSqCwbTDbdTvFqCBGddR/sudZ8NI3RJ+vTXXVCt
TG8K9v4AT1kN2S4sImM1JMhpaT1br6dbPzDGna0ZvDUq6o5pRNgts4NrOm0O0uNeSYxsPbXalzhO
JRf3ygVVFG37CZhU5aP4aV0iwIui1iisYSploAyItFskpYibsrFvrduYTX3RfDG94qvLb6dYsfFb
IUKERvMSqlzgoaaJVbjtKobnuLDm5m4LgZyBF3t3KoCejc0OAtQtB0pxU2UGedF4WOuVUa4jMBsr
+A7mFt39TkwunupOrjzNvi9pwzpUXYzCiLfcqfxrfW4DpOBpQ+3JsSnam96n+hCqE2zsTcEIB8Um
+ixFI7Y5dZaY7bJwJdNqM0WcvNX4aBbZRuTds+jHcp9Z3W3XoIkaU//OnzysByt979zKOGN+x2xj
jDfxgFjhJ+FJMgtf0VX+atQ0DbCfN/dQVp3nkBjpuqJ0mKayvEFbnTb23LJZx115HXQa5K2ADs7h
o47T/ajmtEoWMzjivlBQ2AO6tjB4uATuht08T4421QGWXz9J0ZPlGXNKNEv+CGqISkX5UD82FJHw
FnuBv9WycLq3ygJenDn2YO/di1c5x9YY39OwSlZGYt+mPjUfztQRcsI2EfYrQ8b5OnGAEWBF+RJP
pdy3hftlcJEWLW9quETJZlUYzae2KniL65MPjm3lsuo5UFWCb94ljpqINfnR2brgqVk84BUDbLq8
D8ZNbPjkZ/2blAUpmkSrn7tQ0eakhMlaJj1WZq6vJ92piGKRxjU6cgf5oY9N7gO++RSXk4IZ07ZX
odD0k9XX9ruu+8ldoYtyl3beqJHpDKmC+m+m/jZT80j4x6fT/65U1Pzv/Bo15a8ma17+/RGFbQDw
Ec4+iVuTkA2T6/fJmqeXxTrV4rJLAzdr+x+TtU2zEq/5o3OJV31/RNHHhKMAgyFIrG/z+L94RM1z
85/WJDwzPYZ7uM06z40PseCnubo2McEiRwTnAINtYx4j8buH9O/J5M6fBYf5OetZpI/4gqK5Yfvm
zfl5ds+MQpdlOg7XQeLuGUnlZjB57m3cbDgN1uBQ/JGPzXbisKM5tIT7YFBDcDHRQ6H6IaGfwAfL
hgu4X51UrXkVvifLqU6Oo+nDWjRqDFY6+JIJU5O+LiAflQRTsmxda0TsB7SIbV0E5ro3HGNbh6Ja
N0Ufby2nxKbbOTcxS9ItZgd9pQpiNxGVbyb5myLWtnnWT8WF5oPwa4a0sLEMTNPx0mtwuLFxFGbM
mMg/rY0SKXEdiky3LkjeSUwMf6g+tQN/i6iaNpNm2AttCB+t0jiGQwhoi0fjIpHJ3uqqbQc/sIfa
tXBb7VqF3YOdWHeVbC41j+og7x4cm1Z5z6moTorEVVVzmIjqKgzpaAqCZI+jKUJ1cY49a2PcHHP2
scAQhzqjo6BPxXiobf2pjONxmaaug3WtOteRE+8gi1ypQX8NnWREoWSPInxOOi813iEnUw8jJVlG
eirodMQFJawM0/RgbzGITMdqLI+dr22HLIGxFwXbLLXrFQAcOg9Lmi2jU8bAvPatuUcEasA01Xu/
jm5Du0qhm8FxDrRkX08z55LtTd4MEKXD7FLU7TG05mg/vfRvY5c0AA+Cfkk8bjOUfFQZTNaQN1nt
UEqIQL8fyupEH1K0ALTP28pdgrGQrHEQ2xdbjAUeE6F2TY6XCl3XBOQoGPPH9lQ5nYatvd53xMK2
Raq/C0d9wZjubevUyY6WzLSUSKkdfSpzL1sZg4jo/MJGZ7iGdpBcA7eEpd4SLdxPDskvw71vuYOk
oe9QLU1EOGEasYwr7IqfuhxvGEGiuPbXFO0sM4eOyz41t17fmis4NjAOc3fX6N1nY/bWlXYwr16e
kdxOZIAhCtTDwU71m4nftDPyU4ajbhIkwEvtxWyMd5Lpe6JaV5YP58F9GPznwpsOwHq8jQ1Tonbt
+wqTb9gNrx3XTNV6BGqz5Mo2x5vAjw1CoInD81s+4fF7sljTYlgwrqTIiQ2LM7adMRPhMpyUhRWt
+j/2zmu3bqzb0q/SOPcsMCwmoE9fcOetHRStcENYtsScwyL59OejHMpWufx3oU8D3cB/V7ZL2oHk
WmvOOcY31qA2b52huRNJT05nMizNEGVQPyNbIlxnWR9dtEWyQ2vA4bbXPpRKeOs42Z1SzlRWubaD
8hV8+L5ylf0wqDCFYmtPwbtJrbTDWQviptC6nehEey1kvOfzXZix+oTnD5CGkUKbKcCM6ZyhTuR0
JttByfTHQjr2Q+MUBCcO4+gD9fST68G3GyzaqbZiespJLmrDZaUkCWe+GdzajmgldUVdSh6LQ1+a
0akTM2oirXsiobDcz0+YZtrQf1z8eU7lO8+TxWQiNK0PSqNbq76xTn4I68xPS+KVhdtwMxszpqhL
L0Znpunq5nWrAiBhCFItg750PJIhLvoC612ZSC+WgCX6skGq6YoHy7qJufLLqqP7bw9NvneM1Dr6
ZciXPZHGk1jFswiwYFiMznjkXK6ReasGZcL3OMJ8GoNDzITDGxP/KmmL525wF7GP8DhG/+0r6s3M
kzKM8qnpEjqq8baP21fOLWd4C/E68ENKbJk+6nG3RqDxVHCO6JxG94RGBe7L+cDbwMSP7fHQ+OZy
HCPGScSjV/rnzGqHTQk8Ic77x97wN6ZoS2+KuqcGLEJZc5kTSS6ufa/lzQe4B3AuCoz5Q3wzpOMh
d+W2rTBhKjK+D7DtR5JHdBiOvZ9tgswHppRa1207nbHzPZK4dCoYQzuiv5czfE4WJMlP/boXxBwN
ag2d0GXiljwBpWCqG1sbyFYmDWrqpdaJdkEDsQX6O1Y807rRJq5akwI1CnL7Fv30vjUQsTWRCpY5
vIAsgnkIZX0UTe22iANgFlQKhlpvTYJsWG6WSjccjZxPn4X2wensLQEye42JmVv2nOiKRekkZyrX
bZLRksDiAiU1+ahAEIdbu+1S5mBV539U22TPd72MpgEZre7uRTdeNaXK2xQNSXMKMdrWk6+Wux4c
gGj7G580HmRS0xpvLVzCKLxEJ/AKsp9x2ZQ/qQLWsg79xjXTTeVXt1lO+nqSF9s+6KstXPTxQMzE
Mtb1Q1dHT5ZfXKg1aGldL1poGqrmFULIS1VHjQDI2VglTv2QqyHmdNU5qy5nTJlX1ZyECug+JBGO
6vhTRHz3TEpUHmRpcb/Qk1+NKv1tQ0Tp5wEf5FI3shAKx6gfJUCy1x/OZ5dfDjQ/Bi79XIfPRxDk
Z4Q5cwpBZ4gE5ecjCKd6LcugJZxicoqSD4n7LMwvWqG/Pef8q5d416EcuYutBC/lSa2wZdnnrjwP
8eXvPwajox9Oa98+BnmbnA0RmhrvPoaOKoS81Sg4q5JdnkCL9jAMt5CLf/8yzJr+8jL0KwjzoOqc
B1U/f1tBEY+GnfTBucumVUUUUaPzHFZ3nbiUBKpbDdEA5v7tNf/d6DK4iL8vJdbYLT9FzadfFRL8
8LdCQtdpW3GAFph7YJHME8LvhYTxh4bOCtUUjTD77YT9Z6+LZQFAo/vnT30rJJBtIj6mRaXB2X2L
h/k/KSR4eSEYTprzL4Xp+/M9w5lEdWK/nrgn7yvHpz3ydYDztw/Yu5vfVPmtqqPaQAxcxpZv9IEf
ShXcwVY5lIZ2bgYFOQSBHcBJzM99v/3hAvxirfi5JKL99+513vXsCoXkwToytbM565rrg7Q///4F
8HL99Hz95RXeP19alesdw66zPhCuKu5s95Xs6YWroFHtVxSKi6Z/LLttF122nIy16IWZZxBc6sVV
m5PQzq5bXVhmQHQ3Qidx1cU3kr7NAJr+9+90Hvv8uBL85Z2+K92MSPHRwczfBYf42UpU3ncEGxaa
OEvKCijj6OdebYWATf7TsaLF79/ArBX8yxtAxmfOUUWCifU7tyNRZlrbq/Z4pjgEZ6+5NcwY1q12
MZaiKhduDJ5gR/rIvga1ZXbyWkPmwRZUoDxXlWlRY49Ceof+dd0G6l5ila83aUaUgLGXvgqOQldi
7W4wMgrCxI0dz4d1n8fxqrbqXdnhae+rtdaOSyw9ANfOvRWtMjJZZrFwZ1FZDu5lRgIN5yW/e2jQ
tgXNLUHyR6NNiY2zlj22TF0WO8OEgDYBII9Lsk1vixK8k2VAmahqvkRt0WndwVazFak4Y/XQxLQC
FXpqMr/QWnEF2TIesk2fA4HLzNQrjclYFe5tK6wlRxnGWMPsDQ7EUkQw61QnE6siSR8x3YIHxqDq
mj6ZqoE4/P4KGfMV+KmD8PODL949LjLCi9oOzXRWN8bW302H9t7YOLv6DHfv0G4ZWK2cpbsY18Zi
z8BkXSyHR2WXrNuNurGO0To+/v4NzQ/Pn+/nr4/vuz1SkJdsZ/MtS9nBMS2Xy7rxMPOpX3pff7sc
/erO/HE5erfgOVE2pWHI6yiAM2+Hz1WwQLtNvw65wO8/0VtKyPuP9OND8F6xweevDarvc2gsSBYa
yFhfwGCVDVP/RXBGv/37F/zVCoi3H5kIvF+mvu8uaWZltDaJYjzLuIHh8Nwr/+Ic86sF8McXePfd
wWNBLBHo+pmw0Q6bnlQWhAb8i0/xr17k3SrrDq41jYiDz25/MVX71rrVrafff1G/2pJ+/BzvlseR
vRqruamfmQyhCMZXa1278ckNhy+f5b/7dHSMPtVFU7y2/3P+zZ+KcqyjIGz/189/bL78majS5cf2
409/WL3N2q66l3q8fmm6lB/98kDM/+f/7j9+ndjdjuXLf/7Hx8/MjZZR09bRp1b/6zRvloD//fHo
8LFpXvJf/9S3c9GbLwuXMzcsJ9a3w8/3cxEN1vmvv52MeP2v56IvQFKDozRjvlnAzjP17Vzk/sGR
1+I32vzjG8b027dw+eWp5Av822XiTe/1w4LENJGzOkL5efMSnFrelOo/nFuILx3odljyjCinsVfk
j1Owd7Y7EmUeYdrV/Yt2Sqikxrjvkw9ap9GEQKoRtbtyAiQw9NaUHJrRldMqBmaAjUuWORIamVMj
gPeSdgaHoPanFfEF0QiFsIbsMlu5viD+xqZp6jU1FkNvf0QXtEy/+MAY1mMKqywSd0ADvjnGJrZ2
pEpv+MBMD0AJClvLNDZFoEgt/ttN94YdrPtAmHeppoQW0u16F+kaPZ+cUL5tCYxtOxjgDV+l4Qzr
gABmpEQBgO3VrBfZAmAE1O876XPk59bSDaQGZ78c+5WS1mgNGJd4WM2BGGU0eXqzxiJjMs2ZSInd
QMpWUI5XgdiYY/hqSQX8fe68xnmKgjYL0DeQoLYBSYH4smevx2gtL8KgbC4crQ8Rk2c6w9EqoK+j
5M+qDYFT19qkXmbA7ThXKioua/oO8EPUrVPTDwcRmH/UnHTyrKkI9mWtpJdi5m6kg+ZuYHm+JPZk
bozUCFa0ZsSGQVu0Upscv1pgxythdullonbNAlEu2dY9VpiqkuS1Fyb2AuMlbJRiC2Cc26LHfM/p
oiKyAY24ainPxAEEW2tKOw4/BbxHYCA28S6bEmOfZ2dx39CxgvqRtrq9KQii27sYhZa6EsZE43Fm
CwqrALZDZkMXq0vdxthg2nK8cl3f3EiX3KNmVlWTo5ysjFpA7+iQleVTzdt0jIc0T2j7VjHUuloQ
Ej3z6wo7BVla9pjzCiOeheTVVTBW0CcD2V7ZETqcadQqmINkE+6Y5KVrHIfDCg6KnAUYkFQ0u5vR
gtXKH/Jkq6Ww5CrCcrZvq8V/97q5eSlOANian9fJ/5eXzRn48PfL5ixX3Rcfqy76xdo5/+i3tRMX
D2oqDUQE9r2fKT5v0gqLxqyNMu9Lstq3mtIhc01F/IR2VP2a5/Jt7YQKRHvlyy+Dc/HPKBb2fFb7
8+DD0klt6orZYSSMmafx7vSPoiIbBjHW51HBI4fSvNM4zefEYO4sRI/nSHCCDO3wZJk1NEjLvKrw
fyMfVa8NX1wnNXBewD10fcMdi+tFaGvrHmtGAtdY6ad9mmsHJ9eWk44ouxcDGAzjoJKs5BlddsIK
ufYD+9CEyprO5xUcrjt7pE+JQIhUU6RGjod9jiSmfJd0BeBNkMVWaOygLn+omS4zfboak/TUjdGy
d9XTMHPfXGs4WM6EnFNbAOO8M+lAwnWMV2ktn92oPfouh+PaeDICNGRtu899a90a7kUvKrrL4ckt
hjW8rAXzlBOJJp5RVMd60O9tYW5DTTu59N1JJjnHWkxar7ZiA1pWzbQEEP3oRs1lGHbHQI6LntVE
yG5FS5kwR1j/7mtTu3NGgewWYdftJ9f5yOPuRZa4j+MexjH4XbO5DoNpo+CXyEpWxLK+GRsy1fwh
OgemjfSAeXls3ZlNtp3G5jpz2udcH0CW5Sd8iYfeyrbm1O2zetx2VePNAwCEEye2T4Jl3J0RiGs7
JI7OUcpta+e5J1J5TDom6NpIhLSffDQKce2W1iIE2+Rx2j93SnsI9Gw5BT2zpHzR2Mp17A47TfU/
iJmMD3nbIg3Nq8KIcQwGh9BXq4WdVcfISSW+h2q4SsfOXxaR9dHu3ZrGNUDb0oQON5T3uo5YLZPD
MwFptJPrGg3h6suG7DdOHW/xfoZIAuo6PotpAoEfCys3Nn0NeNAl/QuwOIi7mXVXVB2cYrCmSdGW
+9wiU6+Z2XhaqhnHwZx6AMdEFqTIhTwEhUz/jSm+1jUdvyhBnbDvt3EOQsQh9peMIZBVOXF5C21m
9KE7gSs1c/u6meDn90QBNED9IjFWS8ADUJAMK1lPM/uP6hNYVdDcOXUL4N+izo1BBUbOWC4nNu6Z
Iegq+q0CVBDs+RJGzHkCSC6ADhKaIFHP9Qs4Vy/RJI5O3N4rmFnjYz2TC/l/YRiivUDUEqyiGW9Y
ZB/kzDss+6aFMwIDEZQFk5dSPKNBopc/kxLLpiIWV7gn9g/Y30P82aWNToMEf0Q/sxYT3XkJSvcp
H/U7Exgj75/svEJlODiTGo0S+GI40xvNnKYlGydaKAxuJYhHw4mQVGR7Muo/iGF87Wx1H4OEFEUY
rQelW3GO/hBN+srN0uqEZLAC4cwWr89syQLIZF6GAHKJnljpYW8sO0FPXGr5g8Qju2yq7LNSzIas
gRxgOwzydZwMO19hyKm6wGam/nEqmEum7XCOVPt5nr8NokcANWTct7YFbbA3+cl0GzioTfVKJ/cg
nRaVoW/8Qn9oKw5FLFOY3Ex0NEDtOyt6GAOgM64iSIuqgL+CvoWO+ax09ZJx1LgYfOKJcv/egCe4
GF2MWnoHlzMJFozPdEyRdedNdXkbShxhajyOq8Hiug++/2Ckauf5pW9zfxnrKmFU7bqSRzRKRhJH
eCyJfuVAYxivmQqxpfeDmU5DJyOJJCbqasdsxOK99XuoGuchI7ZiRKTiZMZOhiq8jB6WsrpvpTN5
qeIitsJc5nXqcEhC9UYG7YWZh7faaJPgBp07Rx7kOUIaS2tQDlHnaDikkzuG+fjBstJepnaZdjdh
mOTrWjZBuFAKki57uDjwx/twJ0BLhiQqebnqKBsVsQEgTUZoeZMVawRtkI5GZLuwB2xtSK8iUp2/
lPH/PovMLZ/fnEWiJonGovtrETf/3PeDCJ5hHKyg/3DH6G+Q2u9FnPEHzW6k6TSWIQgACvhexOkw
s1xcLBZ4W9AXMxTj60GEVIm3mCKULfS+304274q23xZxfz2JCNSltmNgmBFQDS0qyR81LMStMiGt
reJyqFXo0b2QnigFx1wht6HNc9SPEIlgf6pnPoR6oaYZiQlWZCc7WLjFQ0Rw5BGBzOA1hlHdxJ0l
tubQNSeZ+OXnsmWoaadwmsLUHtEcUnwsSleRFAMkHFw2ddaeCbcRj4pqtWvNh6ywABNNWFfu56eE
RfGzQ/DZOKTmOdCQJZChLDcTWvm71hnNx7RHcSl1szu2TWhzWpnrR7sjRkczQdAandp6pITrLwW1
yoOppvk2MNnuCe5qPvYwH1YhBenKrkn5tmN4B0hUyiuJLC7tonYdREG57KUmQLAqueg/FTyB4kLL
/WkcyKFLug1yBqgdInDj8BS+cT0qv8nrsx2ShWAH2hDehEQvQ8GaqSAThG1bnhwX/SwuV4Hsc12k
TPXptfWlZEoKIj+6sJScAT3i+vE57vUqW+nkxbiVPzxaco7CU2yzQHRj5esgtMz9iNv1ppXF9JFe
LG2nXI/Ui0BSaUYBlZxf9sEzTsFooebT9NFvwumFsJuHWqnWeRDtldl/m2kA+6VZl1ullAGiQq0b
NwnDfXje7XhIioHtp3UTVLJZgXAkkkG0brLWwAbVZ6RGJNW9sCOEsa52Z0Afp15mYBiq5LSabMYY
exvrxgnLbNcq4NpKtbJO6P5V6tM5ElRvzeLWb1SqmT51nxVbKnsjbYl9HbIz3gJlWbc967GCCncl
04r4p8GPOGMpRbMjuzC/BuY683Yn6ymAPbScXDu+G8gsONhEaZJ7hDVK82HSymme6idT8Th1g3LB
zcu+YQPBiIPaf3CmTN7lcY2+tRiiGyUaysuwx2qZ43IjiVaInpDgBgZkjzWpXTWD2SwDTsU4yjhG
AXiALW7h10iNvT1I4wpttBN4amFpL2VRTusq4rzjls2ck+qY/3f6af//1YWC1fE3a3H7MY+aFCfI
L1ZjfvL7akx0NoNE8A36NzPi99V4hjtYzIa/mhv/bKnNqZx4FHVaODaxbm9r5J9lIYRW6EQM4aFb
gUD8R3AH4+cB9VtdiI+S3pyDz5KuGm/9x9UYmYSR1MS5nTtiWaYjHkMzPmlCjfVV22bpJQaRvl2g
RTuZZHN1c0bXHNZV69ltr0Gsy7TsUOn1IznD+7TJryNyvto58MuIQTiY5rEcSOTJyQQLjD5ggJAc
eEDvpzh/oYIavKLXGyzRVnFlki2mZXjnQyY7HXoZDPqQRdM2PrLeQepzABsbfa49M2ailSeDdC2D
3iEomLZZtEdt1QabRFNQfqlQwiMvK40YBRZpyiWUhHJnR3a2qWwc1CnRXLeG36Id9zMZgz51WWUP
dRw1j7H0CdDpjUwndY5YuEXbxRc2Lah4kbpmQ9JDbcLAfqtWktzuafu9VTHZW0WTUtt0+Ko8meb3
9lz2wE3HRTMXQlREpY+Typ6LpHgul0BFH4knBXSHkscrqamqyVcJF2Yg5fd3OlWXUk+7liqsJ0gi
7+UOVfYS0/phkCbteAscOfVbneok9UQfS6W4oIxTvKLtjt1c8tnUfs5cBALvve47ZQcKdZX71cmZ
5WJGjWdQbrWo3ZNVtEUVegjc/JRRZXZF/axSdbocpHWqULJlkGfZW18LzlbIilSl5U1K3WrnpByX
6kZSz9YtmMdB7nBH3WezNJK613WafToXwhxYdcYsr7kGO4BK2aBiJipmI0qqrqI5+lTU0N4eMbsv
7c5ZllTcOR2JqcjODpU4roNT3ohtQ4U+wRjvqdhFlp+4ljAxyI6hoo9h3TVU+JNhrjsq/tiMN6Wl
PulmvKYNfCyN9jkoaBHMlz6wyaaqwdNm2sahl6DNJVVHd6HTIftU8am2dNogQCwm5c6kG5HG1Kwp
/QkUrruGfoUTOZ5L/wLZ/6LP03vCqe4KNbxGtbj2S/OAZnmNJ52UoB5Qx6gdJJ0ROD7twqVXktAz
ASOxx0KzqEMKb3oqrP4Xkh5L0eA8QfP4Utv6de8O1/XcjvGD3ryy6dBElqRV4ws8XXp2rlOwyhk8
vtnZVWD9nM9QMEGqs2qZoB24pTr6pSmOg0VlSRJKG/fzGAwndYBfkRkHOwquhqq1lgOR1T2q1qVR
VU+EynH7GdayLKFsVv24Vgz/iYygo3SHcO1k3S2WtZWhGLaXiJZ6rpiov5O89IxM2AslhH0OYSGn
0NOOvhDXokZHqKDK9+KBK85+dhmXyqYRGfVsXGzLMFFwGJMHXw3asY27DS3bhYn8SiW1acXdwdXS
Cdh1u+ay8kMIHaK5IPuwXoRjc5Fm0Vn4ycGowCUSxpVZ1anUZzhLlX1CVczFmJSlLhu5jP2RL6u1
rszU2YFAMJaIlEkon6Md/Ym2lAICtQC+s9BDcsXjqDxkETrKpEVqqhcPrS1gu+pZv1Cy6dTNLYck
+mwZVUxPQofzgjp2mIMQ8ri/tnL9A+LrvWIGW0fp0jV9rhK3kDyarjZSlrMCII1lBl/mgKMrv/NI
earWcTceCvw/nmVE5ySp7nqro1kTDreBZXK/Q1POZxgnAjg/5avBmkSnoI7vXNIhF+Qw4GE0FXmY
CiO9CE0r+Xcd9gXqZLIX//3ef9ulH+uXv+7780992/ex+qKOw4tAEPZMOKSe+rbvM2Uzafg6EDZm
p+8PVZgxB8AKLMDM0r7Oy75VYQY2BgwGlHM0byE/UaD9gyoMiPK7fjAvTJUHnmWu9fBGUED+uO+z
0hNDmhXdCXhOxJ3aPXGgDL0k4fyr9mjV6xQVqR8txsI/RrUjl6Ymm0Wd95dZU+xs/HhIhhCzuX21
BPx6EXbxcbQRWxZ6dKOqyeeehClaBz3dNEWC5ZD6sZhmratqBYusmY18KgpT60lvxINbMXdxQles
/bld4irTOhWKgu49pHNEG8cGzuHBGv9gOvlTORZ3fYiGvmibEqqqBd+33eU4AVtXufdz1PfIBg0j
OvZJeGiL6KkpnGxmK1/Whgk+KCAflA+GQwxXK3rMfacVj9mojjAADAxzLfE9VSoRccq7US/rFYi6
tRBTu9RjCC5CRqmXKM7nKqTV5KTWoWnTW5lPZH4G5spMnGsIxZ+rxr2MIDPRg6KdpgZxu/IlpVjZ
E+ydf/Lb4tGvmNwX+ScqendBWRysuhxafmNnl1Si2yhsPBEHT6lOM7BMnXIpYUl5siw+Sc0lFIlQ
imyspVe+5b+KzF1zXqsXlPGHtiHyW/iHPKC2jcp6PRZyrdZyH7judlZPj1P/CsjnBY3HrYHhgP7o
QxZM9K/mepGL5Kq16UlpswaqceXpQ2VdWX1zDN3hla2wWHK02hRgbhddjbyB7tW9CMxr0Y44j6Pk
VgT6a6db/W4E0+9RMndrIAwPmYJ7oAg5k5kWmzRacOAy8cay0scCuuAaiRFeMVOlAWaniwqpr6cS
H87odq3aJQptR91UbVjAkUUb3pVcNeJo5EI3LZqJZAVWSPStqGk2flNeRH5W7acs4ezJmu+Zcrq2
U6Z1OQeESlQLMfngthKaamo7UIROTbxMscbMkz2FCFdu4rHhGmZ6GaxkPd3ga+FVcwdNd7/21e5m
cox9JIlvtPWUgLHKD5ZBip4bV8CnthgeHCiHuKPLZ1UrarJtfAg3A7HDarQFBIhJVAm3KtynpWIn
+UJVi401quB+0cDgjXG3HCBHz+idlyyuDuSNgTdu4nIFRmxnBeMI4Ax/apAB8q7Mva/XaPlaoE8W
R52mc9lnaljbYiqny2yw9AuRJ/lyQNwb7FLdDY1lksh73UnqHpNPE0Yf+Br89qy3diBXVmQaawvi
cH5ro3EolijPJ8NDO9aECygi9iUu9ci6HCvk0UY1BI9RV66alFvIm63hp7JpSE+0OP3JwVPZ/0Lb
DW7CSp2dIuZwhXUHplUVEfRi94bpdQxal4NjNdWOxjK+jypC04yb3kgB9YxgwmV6VRTWUOH/N/SH
RKoqjKS8nLv2aYhJ1bI/qUEH7i2xxppoZXya7gwmEma1iiLdDm7V1k6bR93vAyLejInDXqVmlv+E
MSUUR1WvM8WDutyV/94uv26XyJ7+frv8gO28qz/+Yr/kx77vl84fyE50OhqY577obn/aL2eZtoni
A2IqJey38an4w1XJUqczyWzzi2n9W51s/KFrQrdsdlpCp2Y/+z/YL+fd8KfpKZX2bAYHgqiZc8Ly
z7vloMJwqeuc3XLeGOhRBhDaIraUH76Xr4qXH7X1KI3/+kJY5gEQo6eBPvxeAqjhNa8sCN4ntTPd
uyQkEwCGfDpOWyp4EwN3m3dih8thuol1Qruw4TFRdOzgsSxilJvB6F5osK68kip1uAxH49oYi57U
vTGwm4s+iRvjqWchdzDXVn2PXbYQy170kWclSopMLQXbH5Vloa8KmXZYnhXMTF7U+PkDAwtijJyp
VpdN/slMhQQiWKZn0ankumplko7rwh8MYqU6T0lxBnp2JAvjrPaamRz6ND7XLdacrARbEbqXhqa+
mE35Oa+CNX24WxvbBIS0jalYxUYnnRXDfbRyhb92s5U5ZDt/ZPxmJLQYmlpbpmP1Gjrh9VSKk6aX
r53R35A1huxT1PGjndBidIOkOyp2WTNpM619GrnHkrEU5DkdOZ6iGK8ibnA5+8xR8pZYGvxvAHVS
xaT/OetO3VOTUy1MutMvgSfqmza370ZNeUh1pmhFHDKnadtAtz2IuUhisJ+sOIxFKyKc+RWtvtYS
q76rRQtB1nLy8Bq6GsG7tlav3EGFn5FGI98ilhCvSZg2CaUm3RV/fQXEYx8qTKF/f4/pP0sS6fig
QaDRjxKYk+Z8Ov35Xq7GugqCwalPzSr7KGtPu5lubA9X9YIYecp7D+bUih76ql7lnrkXa2NFPbP4
l5rCubP05zOFA8MAdoMq0gJsinLMeadcJI5Hdkwdi5OvB3s0QMMiCSrfK6UgQ9NO3FVFKsS61i02
NN9Rj4FdQ83mGllJRRCxPZ5cKC+eo09P7VC460YHvtm25dp3pieI9Ah5ffRNFHP3tCpsTpEVuVcN
ld4gfZhzIbJgEH2r0XA3jB8xczEjBDYMOcLdTgZgPV3fCJTUHgivmbIkFlRV25hk48IAm4AcYiVl
cNCx6JO+Ch+BcDMEwnGz5CE+ycE1NlUQ434ygrtAFltSJY/d4Kjz0HqjJtxotlsRa6vGN7+/xD8v
IrO3BfsCujvWS3qOxnvRqTvRuy8zvz6pPVJsFgLohDU4GgWNHFBHAdgmYLn+vqL/YuWaEfA/X813
r/nuaioDY5EecvKpCgzCe3ALdkGxnBp7K7LuWFS0IAKrLj27qhZmSp/FFPl4mGrYpfAWDkXkPKgR
4wpaFK/s1Wsk3Ue9sK5Uf/pkBtVTJqOKCWxV/psK82VPnk0d36/grDn9qiWd1Vn/+R830Uv9qy15
/qlvW/Iblxj+HjE65ldt0rctGUUTiiJkSwacYZ1G9J9bMpLPOTSeRLIvQ0Z+4bctGWSxy1aMlol1
B33pP+IS/yIjE18VShwiNwV7JVaZnxeyyQizUC8ixoQsuPRxJzzv2lMRfIYPPpHY49XkdURzcEdE
pMlBlvx9DfzWIt2jIxsLw+l1SuoHCTDYl4kBaZLwIa/NDdTzayN32CoIDGnsR6pxyHgkiUwkirQm
3le2/56s3Q5sbX6LbwL1nqtSq1CsLFWySaB0Ly1TvzBHAOBkl0whpA+yTHSh0OkZWiLbc9Z/4k6S
Kdo2HWVxTBKKFthbOUejiKS9HMhKicFdTmSnuGSocADKSObTXxWZ33MG+ZBo6C8FuSu1q6wnclgi
lyx2PtmmdGleEUFOFdZanuGTDG2T49KihKFkpNzJxcYm6aVuegC0ZL9UUh9I1Bjt3YQwlSOzuIjV
FGukVLaWZMXQoDWD5MPVLYad/pYvY13Lsrse26y+S0mgSecoGoswwoBsGjUzL5jVAsdShyNlGmVk
YCsrk0SbticjcSDjRpB1AzMLDzDpN6P2GUP5U0AmzuiYksQzFtXJIfxQhT6bVsYxJUnHsPERcVK8
e8MfSpW4HYXTQTsH8ECptqDsjNuYbB7HkauSGXDX8J0Fc3yP/BLlk0AeqE8ENZBk59txsWlNKnSM
1dHIALpU213hOAHdYTTFmt4iL64KtSbfPBIoOZuGE8HHtK/ocLem3pJlTAfVGww5irkrWC9BzrB9
hixy5Ywg7iqoLIXxKQ/ZQRQfS4MB13h2gPJfEoP01Hyy/E4s3KR6ZVZuEXEfL8ecssWeOaSBmVzb
Uwmc2bBPSqg7i1Yv+R0qWFwlfEgH8Zg7A9FQQ3+DSihEJUIDV1Tm57hsXonWfpnamgajnX4ILMGt
YBhHtaeaTQBU1LkSrYD/GshqeyDXRrA03GQrwvrRScx2bSgiXZm+8zi28MFKAbjAsuXnxiG8KGfO
wZ3TMteOGmeh0hg/poFyCpiPL/Mg2OdojsQAzyXjfsHxDifpwsrzTVyUV70R4xAGsVsKkJNWEcwO
fw+YGmwj1br3Z+Sbyd84mrwPpuoq8tPFKJTmIJvH3DRRyI3MOSBqTtGSX0VdaSdLxQrpEVhIwpSw
WaT1QJEurdqDYXBNNmywS8LwYrLyEzKd/ZCXr4zYatKGevxvSB3rT2/L6b8lKupvXQbLl/R/nEBK
/KI7Ov/g960F3CFKEpUBOeF7AF7/7I7q4g9MiTpDThTs4k2I8rXaE7NGBfEK8lXuhVk+8n1rwYPA
Im/b+JKtfx55+b7aQ3eLx4CKcubIInp5d0Ju/S5u0inXL/Ni2KpJdLADsnD7cfXDjvurM5NDf/jH
QxO8R+3NUIprFEu1ab97ISVQEwSuibxEgpfsMNU5YvWm6GSKSh81wBovydvV2uLsjt2hSkoQxwQu
lQ2IPQlFZZXUWnLR16YL3MFVFwYRHB401gBxef0gm7JcgLUgwcwo/UXYpDclL7jQy/QSonIOdgPK
h1PpFcyrfpYk4KCHb3FRZSD7Yqz+6CMnaF9o6gzUYL7Vr7FntMtucrVlgzCjtMW94thHV3QkbmrG
A3qUgtXIvMFLcq1kiFUV89RGKkhlGc2tO3dXuz0w7IwaA9kGBCeyOQBOL/UQEX7Xt1cmvV8punvX
qV/0wH4KshFUANMwlKs5RV90adb+hWVn0ZoZ+pY0unrThHNacV3fwYjbRg5kewxlF6ornoE9Jus+
U4Ei9iiB0llUonA09VJR5JgRpyfs7D15wOhNHdJ7xhS2TGksSdZ7okq7q5vgWAxZ5xUamQdVtzFd
fRtYgeK1fZPxRg3miC0gMuCQNwrZfwvSqRwo2U9um61Uqr6uQq3YdAJTpwmPesbr07/bJHb36jCz
xZlgHrFXmDs1z/JlVVgLjdpGZ2AK2EoQIqhF60RLL6s0jNeGgRYpE8cg8AOv1cTGpc3uhbPwRrGI
iC4rNJ29uSXz+brIp/9i77x628jSNPxXGntfRuVwsQssi1E52ZZ9U6CCK+dcv36fo9AtybSne6gL
LTBsDGamJR0WD0/4whvGuTbVX0ITcKtfc7xCpLys+3ZDOt7RTJdvQWiDxezHL0kYGqtBmyDSQrao
AzCC1VTd4UJ9p6Kq4saDss4TZwPnQXHjvl+lsXGexvYcUoh5ZGlghc0ku52i4jqwqA2mZn5lUm7g
MrLQZWm1lYUbgIrImJ1x0C9YYsAjkRlbgFcqt1lEWXU52VIzuoY5kJXK9NMAFqqVX6/1vsxEVXqp
2D0NxhLlliThHlDheqJ8vql07a6XnQ1U42U35aj3jZSGv8SGhsWf3yuIoXDNG5D9sMaOI3WjFfpa
6WK8xf3FaJdbzwwvlFi6BwMXo0lSn4NlDa5Gtbsa/LpxB6ef532sbKTUwJ2u747sKsnnErVNI6Rm
29VduEHCt/9mRlaNekuB2zh2aDW6asDbZ4FeHxVRDO+1Xvd9cz15eJsOODR1kXwWVflxbLJltSw+
S1TjMJGkDYRIoNV+ECBwP6bLqKO32OMXE/U0KYdWuQgaczXkzX08oeUzgI/IzOK6rxbplbUJ9OqQ
PuV6NK3tgMLLZFC1oohU0+/4nuiXXY/aM6j0IqebTVslyvCgXcrynP4L4DXYsL2mrzvQqpVCmT2c
im6lWVGzlJWY+ez075muzEi6ezoAqFvrfbFqCappMHyji1rDwdW/NI1MBC1FenmVY1rv20jFYGeY
IlfxL47R160sNo3wORG0CnAy1DUEm/9lKwtKlqZ7ozmegcS3ZvrKOxgu82MitJm0zb6Cxt9orjfz
DgsXoAfU5M3v319kti/qGI9v7yA1bkCPg7T/Jg3BttzoJLOdzjoLeMfGAf/nDN8lBFj++fuo0ESo
ZgqU5lspCafhzgqHbjpTwDYO9QyPDEr4Pfjl37/P69vvcTqZT+5ARDsttDZfT2dZ6qBWlEA+M43D
yjwttJz1+/X37/FAN3k7aS8/zJs3afFXqdVYTNqy/hK48aJby3f2HCsMvONZY7ML1Ktm6VJdfz6x
58nspIPf/KVeeIvz6KCfrRH/PGrm/OI8X/KfxZffP5/6poTy8KUi5IbhFq1bB23T15OQtHhTZKOs
nEErO8EgZiEfK1/9A7pMktvOx9nBN2U1uCflsl/DV00Pg5l2Djt82c+S/zQNHgsUQiHh1wWKTTbu
EPEQf/McQyrGJ1MA4eiY2xT5hS/vc3kC23SCSyJE2kJQshwCxeeOAawqU3dUy6R2gX6NqHc8lydE
hx2iqq2r6oPM9j+zTX9wj/5riROl0mEXIGebei9AZcEVe3ksaUFSKH5nNSdpbAbLPE/C+ZCnuj2d
c68IZfnwUWdeDzoZ1fm4i/uFoTSqskDJdMzoMo8hsA30rcvxNAK4iTmN3YKXxQt2MMsWtdUk0FbE
cGmCBieF5PocGmrUqXPJc/IMoA6il2dW2zpVNrfkotMPB8Po8SFVQKbWW4vccJpmjYmal+wOQ4X0
5gxiZ7WK6sI5pkcXbCDA0oLre/1zmRcu0vIJYkp5jD1NHCHgVvbdIYj1canaYXZiJXF7oZhxfyOT
piGkFAX+DYrOwzIBZXsUmnG+IOzyTiLJ0JfUAYI1OAe2u91r47liqd6mbnMoSsAFT5Soa+aVV/xA
gQxuyqCq1dYOQ1K7RldhVXkGEtlG1FypgHtQmc6MWxyYnVUXJP2Rj5wdhr3hKpF07QLSbLIYoG6A
3ZIp39oKwEOjaaQNXZjxpJKraBkT8y/1QikKoLYpkBtN0W74mpBd8OQJHUWMHkAJBup3TXRSgwkE
4yxWW/Um1mvjEP6VvxnprlwLFUhKByrZQ+H48wmU1GlLJ5gpzTYlTuSXCuJXiRuR6hwDJHBoNOfB
ySg61P6IVJohOteOk+DTCm3sZCpDY52WGeqIYwrMSfPHW90ckiOj9+ovLRCOZY2oqgsGQz2mXie4
tUEdL0fHK1gotOyVOJeABRj1mRY+UI/l/JArpjusQQh4I8JEYK7tZWmMw49eB+5nF6l/MFAo5tki
SwKhaMpow9eE9vmYJDQ8WvOoHO1sVfitAvONVTQYFdq8k+p4B7CBzS8tQAyQcOqRSrX7lMf3lhIC
XccwWHU4eZV8Ok4BYZzdRxs/zLpFLgH01OtivAgE2qSr+3Ixhu2w8LvJW9ZlXfvzhwPlPym6aOn8
+mS9qkIAByMH6YNCwebuv//r8UAWf/Z8uKKQBOREVsh+RX1XCI0+H66q9skU4l/CiUAleHjOzknB
MZuzLLquj0frXycrdq8C1ATGGPcDIhf7n/RiaQi/irjoYNF0ccAsqQ7/xaNwhr88WSX8QMyyrNOz
DKlQlpTaUuwd25Cq4wyHU9WBpdpR2YTIdAtT4PuUT8FqkLJLHbDCTLNuxo68o2j9dUXLqCzIhFFJ
TQCPWCdyo5QC+4eJegG7EexANzf8EV3EwmxnQeGT0XqxINE1dIzy03ps7iQzLmaG09/p4G8XQY7E
oZMha2OHh4MOmFlzomMJ9HQl58Y8B3EAZwstwgY54pk1VvDd0Kes2uqmgwACVAVvcdW+kQZlGfSN
An3PX1vcI8CLSIJjCmNG2X/rbelz0owcJLFyqRnNtU8Vf4Xbmw30UTNPfc7lha7gNdcacbVQRn9L
wSxfUbmG/uVU52AhTnO9RJBzUi+JBElT2vB8UNnqsnGvN+lKq/ptrYeHukr+UEmSO9hUDZ2G33bW
qVxdt1q4yYcWTlnsX+e1ee1EN1qfz+Eg39aOc1up9Wk1hV+NfLiNdRQ/EUqZ5tQ5zyQedlYZ/ToN
QgmACMovE2n5cozDyzrUThDhPJm00uOYBOY1qnD5jdJON5FCj4hbEny1rJ9JRs8FWZMKGxLS5f6g
HEaB6a8iqTWXpZ9wh7Xywq6Hz2YNkadHHgj3qgM7R81UdtLTYtSR04lLNHaKTF2NjUBqR/m8CtvA
LbCfJksPqnkkp93C7LxhYbSqDMGUn1qjukZG9YtnW9iwtGem3J7KObc2livlqsIhjBtLAIvijWpQ
yBma3idRmhC0k6tNKtHLr1TJW7HRPLfPu0PZgsrHV8FvVjeRVF3AYjzrfXnjR9bgmmqEzCJ6RY2+
dhQUDOPJ/NyAqpJT/wsiCffACSSaCQDvDQhRsPUcALrtdJ1FZTH3VYzjrOKr1Lb1PKn7z5IDcZU/
pROOdO5C6+LLUVJHBLMwIVOU/EdaSxik5sWxPjqnsU6RoBkH+rJ5j8Jt1y8GcEinVo+pjxRVNuLr
oeoidbrumxaMrFYN28Yrorlc47qlVTW+xHH0tcXNKwk/a40Q1nVCa8Fem8NuARzUWM0qw+AOfBZ8
oEFRPVfL5UM85I71DMnONAq1+SRJ54hXBaidl0DE1fQkzNQMbafBdENNo+foT0jW59t4gOTDWrvU
tQNp/BHL9Fckv7rISc61cYjmQWDRoc+/UGr8QcoViULWj2qSvzm1gzdbclLgJKgiHTczailYmCNF
5jEtL4K23iY6ShDhuMF3CA1JJ3ErZaC5OcA1xvTcrezxh1pX332pPezz5jwppOOmA9YWZs18itGy
dDoiMMCR6NP26izCpYzuUYCXYdP8KKQUBZKhF74G1jYsq++Ev/KsziW0NfIB/n1vmwdNC8GzNiTb
TSL9mlO3BFyONlOXmLeNYtOuMdVwzoF8WEvVsPJrkHfB1B00nta5VFQuzGDYRqHhU9Wn19qUdbIo
fADEtV6uzdScw+6G9xAMl41RUocS5LQB9Xbo1ZAHMqNi0+VsCdvEnS6MFvngneTC1lFvvcG1JP/S
8/TTvHAuHU9fa8Nou2YmnEHG5MIr0Kb3lXLpN3ZyDcE0BBraHUkwYVwQZmxsI/pKtt1A2ejjJccq
/Hw1uBky+GvA+5Zdnx1woF+Met6tAW4NMHTb80JHC0TUeDrEileBHCJaRl1gZlCH8uzsAAlh3Y3L
BAmC7jyk+Yz9FVjUUIM3n1cQDfyEv+26SwM7yPWUtTd1HgFERQxmpmZq4JpRCWRtkn5QtOa+CKpw
BafunDTmxtTY22Vi2S4Qc9w2B9pR8PUy9CsdfVbl5TVIOc+FPoh3/YiloYaI2SxAsWGec2YbRSYv
o1BulgDsbrDM+4oZoe5CQ1ni7UcpjK98xnVXuT1lWOousr+EscmcdqG5oSKIOZWOxBk0cDYNzf5W
7z4HY3zecye6TQSZOjRqbCUtg7ooMtCA7GiYEPCyYgVTspAmWOgw1lBJy4UsSY+1T98jfYD4AFJt
MMrvjNw4i/zifsBva1brEYq6lJp7CH0zs82OwDOVJ5aBs7ANMdOysjWFmk2Dlg5pjNoibQpzs0yi
ZFNP5WdNZeMnmfZVgguPAc5dXyZLx4s+c9nLh6EJdZj7f1Mjzwn/6MqZ4rUm1aCJIHsL/gXmZJBF
PQPIJXLncIjgkPYV5U/Vsm7DIZfmKaIvLinLBOrVvlDAgC4Mg5Jahvrroigor3dJ623katyaEouh
CTp1Gcc2VoKo2NiedBD6/raKrLmPGvVsiAr0BnL+3irO8hjlTqrt/gIh8tsCQMgSQv43XYZXHpXm
mdyaX3LdhASZDOvJ135EMq7rWqdgXKtWwcIeMswoLcgEjVnHMznHBz6LFOxBw9EBvKp8M+vuhEpk
uADahD2PxKkNksufIw7cu6YUbeVMPYYdHrhN6EVu2QFzFYRBaOircUIyoNUMpAvkeB35dAowveS+
E028UvUyNxdUQ9Ox7wJfGmalTeG1UzQZb0XK8LkMKT2exKlqfk3RDKR9ihFbWkpXQdV/rhy4GFno
uIDD6K4ixO63Ni6MdY5jiB5cNibCCXARNq2PSE8qO5/1rD3zk95xtbqBkVFICBqY7Ceta5aDLyVz
Nc42EpETGzKSXVzCbwo/FZ67bHv87+Q6Wpem3LskQvc9/V+pMH+YsnQl4Rcxt1Jh2uHEPyxht4Ef
zG03VocON/lstIxb/K9XpQ2sKvOVAy/Tsjn6AXgHm/FXP00h3Q+V6tpwKiIpBc97I9v+EYGBPrN1
KZ8pbXRQCHGRoo2iEzXMNx5q8TPbjr/5NFnQsYiulMrOZkUrXVipY87UNN/oTv91IOYiDUMLqiny
bFE2mu+OBh5vOKvycXSESuwe4fk81w9tjC5se6Q1b5WJy777YarIULFmyH1ibSl37XXRsXWDSjnH
l1JQXbRjzQybRWZE1ayNi0sz5Duiv6QRXg6c01V2POgV/H1TP1Ds5jZKce6A5fW1HLByT1v585SE
B8OYXIFISOc9eti5Jd90HSYuNmJYM6dBfCRP2qMCvatMHuwZXDAKm+gls2qje4fYOOgwAQUAcT+l
1cHkUNJG5GqjqgAFkTRp4MIWHZiAmijPijn6gpKVGTg92kpJyEO21koeqh9kqyVn8ICVIDFfh3B6
mETX9Ho2ngc+N8624BduoqY91fWSNLRR5oCdl2hycFNqJQqP1sUQKIvBwO3YK/PLoXbWdN83DjS9
Uo7OGpzNxxCezajRdvaE83R3VA35pg0LNzHkDsWCSBnd0rfU+DzJJvN6RL3EPiklo+NfGA1C06Nt
uq1RSP/R6n1KJn/bJv7W3mx3JKAvO8QgjCjc0YKlKIfq28sEVAEqbCI0RwnPpmJHTfC5uufwEwdI
kIV7wRvrTxt5Jhx1HX5EcVuHdfMP8MCINL3NQcFOWgB/wFDSd1CE9t7LHDRpEHsZ8kE+baL82nMy
A5NvTTpUpbbg7lKKcyMH8tfS6zoZYq+m/ofmalPrB1Vu4EGdEcpRXzGOqgopD92Ou1ndm6uuby8T
eyiOq0mCOSejw2bf0qgimk17hE3Q1Zkws3UwtQ2tQp4X0DZaIZSaURxyLcp0PVa4ehhkV4A8kdwp
ils8Iw/ztvhcKXpBgEK/0sRSNxHeurlw2aW6tx6E766Prkp2jpLlChtykivNPPTM3lk0Pa2stJc8
3HJoPidJeTZ6zRZlu1svtRGeH3HU8bH+29iZg7BtLl00OI6fOTgVzVITElqiUbT0Rsuaeyggub7E
MZN54xlaBJT5He2uDs1zjCxO7IYmMCTA61DVrprcoVcbqfc0rQc0c/3PFUSHsKw3rcmdnE7K2iud
O7hGGSiPYB07w3kmw7tHiD/N/EPKZ1cKSj64K4j8WpWvCivCtp0voQmKxk08LkO1wdOvpSZaW/W1
3aO0UxdC3gguSa/LZ3aiK/PAC89Dh0tfSntck8aRzjgEvh8ySBIZRIk9hYedgJhoUX3RmvRZB04V
9GC4YSwQKZGZQGAqkrlF/D/DlLMt+cJUi2wU49UYe6oqXYRZbZ86ajGuksxWZ52JHQl+YMd+TRu8
7OSZM1n+uSSyhSk0sC+mfVmO6o8kN0YTqFtO+y5SnZMkqHw8DitojDGWF42RxssMfsSBj5BVkFbk
fYl92lNzcE0TFQR/JNuLITPWCjSoSj1BMiAjgEDntgmBuSptDlDAkFbRwM1JEPPdLIIvcRy3eM45
bqkGGfBo3A1qn8lNaOSSBk1fLABVipffpDhFwY7UD0jjzhW7+KEH46INhlVbDrabAY525abSNiZm
5oWZHgyNsdB97XRU4lPIQsI6kHtVzqOvcu99NlKpXjcxhoaBZH2uGt/gsdUjrwDOLdmknmWZCukb
+SIdmwMgB6syji7C0F+YbfKtl6sbw6lyLEfQfRoJsuwqbueV2Qs0b0bsyuQaunSAdKC+MmWKQy2N
dIIH60gulVugxtq8bsavhaYiU6IUy6KGDIPVZTkfh24Te5MMDVg+6ZP+JmCuF6bAXWRmWILmKK61
rDh28pq8KV9GaISAXfZuGxnrjkokqElfunTTczeO2sOBsgRCQwnc+dG4a3rjuC/B6KV2dFR6BC1h
kcYu4msrDB+/21F5iCj/ZyWevihSfc7z4RGiY+/WOwiaZQg6qe3cn7p+7ijxsV1CP2on+aJ2tO9j
4xSnyIIkLna4w4EUj9ImT9FeysgMuri81BEbCYr4wjYzwy1SUpyZrnn1xrMYZaoCqtOWvqg8FKci
TUo2aaqeRzJ5ua3pJvSteppJuRW7ac4iHkk4XFAdp1FeJzwerjhekFAe8WHEqzKiiIZMHV+J/tNF
e7pnqcD+utb7LU92dNGEt+KfhV5sH7lokSzkeuTqBNf9Z6GXGjAcFBQDLdDk/M+/7lkuU9Wg7WaI
K5V6LL2t5y4aioYkCyY+VaRoqpAf+gf3LGaSP92z+D7ifguY2BLiszzEy3u2qVDGSdRoOEXYR5oV
doNdW3XVqDjXRirsR9q0+VWIFAWEtTS9rFuvWkuyguL75CFyjuiZ7+ReMyt17QRHXHkBNW6APRDd
axPyMw2NkMOg7G6cti+u8pHdSZFgOHN8H+hUmlmu03r5lV53x5UMxazJEO7Ddfk09UtkY/vMvwC0
m61awAF0KjxgUYrymaspWSeJ1q4iSAC00zfaaF/5ZVstBx3PIhOmwGkSDqkL2+k7QkSk8L39JZvU
8HOpI20QcKcum8lpXUlYvCpMwWmo2N5ykBtnXeY52kS9ip5LilB9X1jo0PoaUW82NeRrFrXYQqgq
RQQGbXrUlujqONK3HooTIm8tHtykh0bA7dXqi9jy5YXqdwdxJWGfY39hNo/znO6R3MBKyc02hRYf
fDc6fTuYVHEIbL76Zfy1MjLKRoHfI0sQXjY6G1pLJKobmWK5pu+v4wlCj2Sm95pP1gGu6MCsIOM3
VFcQc4iiZQMhfhl4Pd5hxvSNL5oml1lc5pJ3oiNExL261jAA4pNod95Yn0l11h3Fto3YW4MQbtnb
J9rkcNR504mR85U2xTBHsOEsTrUbxC2QiYhvJa/geA+CgzgZTs2eDoBViGTbRxRH6tWNgY6rm7Rg
VXvfOaV61Lhqqq/N2jwC+GUvckuj4q4E3wp/Otd1kNGlBdpqmCTsQdFkYH1Qn7XL2D7VRjiJN8Sm
xrix4N8u0K87BPY7pRQJK3+Oo1c9CyzjXqJBh/IahTppXD6AmT0nMoDmJgeI81czC9k9kknlSLMQ
H0g66tWerIAsNuxwNRoxlkmoT+AfqV5UhtG5nV1RfPPj21ItdCpB4YhY4Ngu8sgB14MaLtouTDIs
ro001jg3GzGSmWxwV2alan5xkWTZwMrWN4NNF7jAwe0qCzygtjpIqTwbKNZHFGAckyK+RzKuyxm9
Fu9+pA4eUs3fxIZxVTUebu1Z41qx5hI4n9AaTTa9bpjkyq08sxJzIyEEfGo15LtwkBq3UEJ8yCpA
STE3n9cYR8giIISA/6YrS8ZBhSrWgTLmh6WeKJsyD/mWGsdNtOta8U6l3l8irjQsaaSuGrwmYtdJ
gQMC/yKwCeZ2mdwEibG0aV438AhRsrAGJjb9XgT1wWD1xSaWLAAmoaKcBj24P69F/CsKSxDMROVU
yryTrqQWEDnmQh0dFPYypDw0mEBo+g3no0JZasSR9KAcJ3vWqqq3lstGp+mQ66vR95y5LBGxFmV2
CDDeWox+qx3Upj9hzaVIKz0vsdkri3NTcsC/xeOBJPvXVIG1MzUKAXlGWbyRyBTcIC4OJLjn/uB7
CzMqvpVW5P+os3TuBGzjcyuK7qdoapCOdrSmmj1cG/8PeqVPj7hTNf1P4Tnx07OcCvpVvniru/63
fun5jto90FOrdIcM+8sk1kDP4c1l/PBMDxrwvxsi2VLjbO+g5WjWJ+5V4m5U+h5etD6THEW0xx/D
9iPDBQhBk1XBiInXy69x98P/rD7/q5n6dyeBO/ltL1mg016FJX9nJhjnxVSA4aHzzL35+EHFR301
FdCT8Osjl39wNMFz84NOhUJItedUGJ80C1IHK+OXqwI+J/hqgWPjvV7smX/vu/47a+bXK/qn9QAj
8d/ZGa/Xg/UJ8jdgKio8Dy8+6uv1gKkTYmqWEJT8gHMAbOHxwf5ygfjne8LEhAHCOwH7LxeCCl0P
7ObjovtoC4FU43Gb7jMJZBgiI1EFa+T1CuBEsB6YgI/T81FPBGENvOeJ4HxSxKYCbbN7IQDSUWEA
A3H8mCcCC2H/3YCOkqI+nIuPJwI14tfrgdyWM1NRnib8A+6Gt9n7Pz8SkIrk6Hc0jctQvH6aBPUT
5TXQoQo/+ZDnojDr3nM72J8Ux1RRAgFlJl7i5ngZNhErCDIXi+WxLfEBVwKH2Z6T4LDl+YgmJjy7
J0Hw52wqKUJV5EOuBPXx29nvcsCjUdXZ8o+TwNp6vRKIEqhzCfb6B50EZf/bQSUyBsOuU5t7eL2d
BKDzEFXgi3CNitdHvSiFGu2emwJFPdTy+KhP+dLbLIKEyrIN/lE+6qZQaD3uNwkouIsmqo4c0tvd
oH9CIQgtQvbEw+uD7omncHafg0HoMaoIRcEcfl7zrw8GIdSsKgqA4g86Ccr+VwT5A3ckUhqUKp6+
71eTIMoL/IzT86OGjU/bdJ+V4HwCf6xYcLsfV8JPwYIKVMBQEDH5qMHC07ezzyToCLiokJOeV8Lb
sBEKlUrbRbeYKPH6qFcEOqh7no7U3MTnZDU8nYFvp0JVPj3Io0M7+Kgnw3vckwTQUFitp+CRaX11
MhBB4wsJcEbQaz9m8Lj3PclK4AMyBTYVlqdF/2oSOB5Rq7AQPoLbJ14fdSr2z63ZFLIJ8QdFhofX
T5tCFvZ0DscDVGReH/V8eKqI7nNUkleBuMSw5mlrvI2mOR+Et55QW/uo62H/8wHnIFFrx1Jo93pA
7xobCxnduQ+7EvYvQdufcC4S0/AUQ+5aCUKdG2ba4+uDrgfBRd4vpeCodOAL6Mi4PWx/UcN5dVSy
KZDxIdrGIvUjnw9CNW7PqeBSAGtKo+opxfypMYGBFksGv62PGj9o+9ddLFJMwexEz+l56b9eDwJM
JKOgKxxoPmT8ICT691wJGjmmbABWetwT4ih8NQkckoieAkC2Puwk7B852LgbgNbCTehxIfy0HZRP
qDXzD5X7D30yPNYB9okcTO5EVfQofpFuc0giXYkK2octSwuNtT03BSUmqs4ABZ/S7bc3BZuCugxS
Kx92Tzwe2/ssBAqyWHcgDfY2jObDK6ZmMztPS+SDHo4/maH980aVRWkJJy7D/FXZRTA+RM1BKA59
zBti/zDaoPsAb5h44PGKeHtDiEYVtwctyw+7Gx4fbJ/d8JBmA/97XvM/3RD0aFT86GDSftCVIPSs
9j4WiYdgLwH12hkwiVKsA0Qe5uzzzz/kptD3jxhM5EFQ+pSVp0/69pBEjAS0BzvmwybYT5XBPTYF
CqY0qqg8PcOb2GavYkcmweTwRFfqMS75eC1swQLYc1PYn1B9FbaWT338t7ECk8BFCutOYH8+5nbY
/3gE24MTCmiGp5Php+0A/5Goktz6o9abhCLPnisBFWCbsBH9tsfT7+0kcDwi+a6gsvZ4Kf+t7fA3
fulPtLAbhMndA5g4vK8fILyPoMh/+QvPKNqfB3iBkn3ACr/6TQEufhz7EUsr/v//bO/SMJuHdVOF
t436gOt88dNnnOfDOz39/dNH/PnNX73Z8+d6/pdr7AC21S3Uuwf09NODPloF/G+CY8Dd9i3G9xHT
+dfT/Pd/vX7YFyvg96Mjr3T/dnBRM3r+dztQ1y+vnN8Onm7v8up5oL+UrkRivveTz/AP3fXgPNze
Y7vbZNvxldTPY714ds7E/ceHul//9JUy62zcdxg8a6rtH25eN7vegmxq77f4VzLjD6t4j4WzSP6Y
5xWL5/lZX8w/t9zez7+s7uts1+AcZnsPvkrus+x5nBcPzs2099jrNr3Jk7vmeai/hhcwlb2H36TF
fRVuk+ehXgz/Hlv2N6Ki+66Yw/tqx5wL7P/ek3IYZv6Og0DAQfYe+2gb7zjDBMjiHYau6/tdc0LU
sv/gef3H/2b+fXK/a2beY4seb+84gJ8f9cVCfI8terxFhHHH2O+xRcXYRb7rdFffY4se32d3+W24
6/QSMOu9v9nj++r2/u55oL/mXdCP9x8859mfx3kx9nts0+N855y8xy5l6Oa+uh93PPl77NSTbbFj
oQuw4N4TfnLfbX+OHZHXfo8telptOQKen/LF1/keW/Qs2d7e74gdRWFu72k5S9p0V3AnupF7D34R
EjrW4d2OmRE9rr3Hv9zeVqQEWbMjgNHeY5debrM/ZveI1O56g/fYqo9vUGXb6m7nQSa6Hu8wTdkf
8/De3/Uh3mPXig+xZAfchvXtrvd4j+0r3uMg35btrttKoAjeZZaO2rD+4/QmrItdn+M9NrP4HMfb
5n7X+O+xnxkfg73ZtrrZ7ooZRLn4PWaK93Cxnt9xWItK+Xu9Q9VOz4P9daaKMu/+bxBsd+aE+rts
6t9ZGu4b3l+GdYxgcvs8CS8m5l32cp5sd0UPoi+8/6wTmKS71sy77N9mi2xEsm3r5yd9MTXvsnVF
mWXHPSw8mPeemqv7YLtraoSJy/6D/1Zofd8VedVyEuy44gXLeP9HbykQpbvqcoKJsffwv3cE33dm
fiN6tPfQv9Yt/P3Qu8qyf/L0fy7WPvPvd/3Z61q0+I3b5H5b/c//AQAA//8=</cx:binary>
              </cx:geoCache>
            </cx:geography>
          </cx:layoutPr>
          <cx:valueColors>
            <cx:minColor>
              <a:schemeClr val="accent1">
                <a:lumMod val="40000"/>
                <a:lumOff val="60000"/>
              </a:schemeClr>
            </cx:minColor>
            <cx:maxColor>
              <a:schemeClr val="accent1">
                <a:lumMod val="75000"/>
              </a:schemeClr>
            </cx:maxColor>
          </cx:valueColors>
        </cx:series>
      </cx:plotAreaRegion>
    </cx:plotArea>
  </cx:chart>
  <cx:spPr>
    <a:solidFill>
      <a:schemeClr val="bg1">
        <a:lumMod val="95000"/>
      </a:schemeClr>
    </a:solidFill>
    <a:ln>
      <a:solidFill>
        <a:schemeClr val="lt1">
          <a:shade val="50000"/>
          <a:alpha val="95000"/>
        </a:schemeClr>
      </a:solid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image" Target="../media/image2.emf"/><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24</xdr:col>
      <xdr:colOff>0</xdr:colOff>
      <xdr:row>31</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15240"/>
          <a:ext cx="14401800" cy="56540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31</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5669280"/>
        </a:xfrm>
        <a:prstGeom prst="rect">
          <a:avLst/>
        </a:prstGeom>
        <a:solidFill>
          <a:schemeClr val="tx1">
            <a:lumMod val="50000"/>
            <a:lumOff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517236</xdr:colOff>
      <xdr:row>12</xdr:row>
      <xdr:rowOff>72173</xdr:rowOff>
    </xdr:from>
    <xdr:ext cx="184731" cy="468013"/>
    <xdr:sp macro="" textlink="">
      <xdr:nvSpPr>
        <xdr:cNvPr id="5" name="Rectangle 4">
          <a:extLst>
            <a:ext uri="{FF2B5EF4-FFF2-40B4-BE49-F238E27FC236}">
              <a16:creationId xmlns:a16="http://schemas.microsoft.com/office/drawing/2014/main" id="{D8E2BC3B-0C5E-1A70-4694-87985EC1654C}"/>
            </a:ext>
          </a:extLst>
        </xdr:cNvPr>
        <xdr:cNvSpPr/>
      </xdr:nvSpPr>
      <xdr:spPr>
        <a:xfrm>
          <a:off x="6994236" y="2266733"/>
          <a:ext cx="184731" cy="468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none" lIns="91440" tIns="45720" rIns="91440" bIns="45720">
          <a:spAutoFit/>
        </a:bodyPr>
        <a:lstStyle/>
        <a:p>
          <a:pPr algn="ctr"/>
          <a:endParaRPr lang="en-US" sz="2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oneCellAnchor>
  <xdr:twoCellAnchor editAs="oneCell">
    <xdr:from>
      <xdr:col>1</xdr:col>
      <xdr:colOff>45720</xdr:colOff>
      <xdr:row>0</xdr:row>
      <xdr:rowOff>99060</xdr:rowOff>
    </xdr:from>
    <xdr:to>
      <xdr:col>1</xdr:col>
      <xdr:colOff>1429632</xdr:colOff>
      <xdr:row>1</xdr:row>
      <xdr:rowOff>160041</xdr:rowOff>
    </xdr:to>
    <xdr:pic>
      <xdr:nvPicPr>
        <xdr:cNvPr id="7" name="Picture 6">
          <a:extLst>
            <a:ext uri="{FF2B5EF4-FFF2-40B4-BE49-F238E27FC236}">
              <a16:creationId xmlns:a16="http://schemas.microsoft.com/office/drawing/2014/main" id="{8D9D3D30-677B-D53B-F660-8862EF27BE89}"/>
            </a:ext>
          </a:extLst>
        </xdr:cNvPr>
        <xdr:cNvPicPr>
          <a:picLocks noChangeAspect="1"/>
        </xdr:cNvPicPr>
      </xdr:nvPicPr>
      <xdr:blipFill>
        <a:blip xmlns:r="http://schemas.openxmlformats.org/officeDocument/2006/relationships" r:embed="rId1">
          <a:lum bright="70000" contrast="-70000"/>
        </a:blip>
        <a:stretch>
          <a:fillRect/>
        </a:stretch>
      </xdr:blipFill>
      <xdr:spPr>
        <a:xfrm>
          <a:off x="274320" y="99060"/>
          <a:ext cx="1383912" cy="243861"/>
        </a:xfrm>
        <a:prstGeom prst="rect">
          <a:avLst/>
        </a:prstGeom>
      </xdr:spPr>
    </xdr:pic>
    <xdr:clientData/>
  </xdr:twoCellAnchor>
  <xdr:twoCellAnchor>
    <xdr:from>
      <xdr:col>1</xdr:col>
      <xdr:colOff>830580</xdr:colOff>
      <xdr:row>2</xdr:row>
      <xdr:rowOff>122715</xdr:rowOff>
    </xdr:from>
    <xdr:to>
      <xdr:col>3</xdr:col>
      <xdr:colOff>0</xdr:colOff>
      <xdr:row>4</xdr:row>
      <xdr:rowOff>160815</xdr:rowOff>
    </xdr:to>
    <xdr:sp macro="" textlink="Pivots!G4">
      <xdr:nvSpPr>
        <xdr:cNvPr id="8" name="TextBox 7">
          <a:extLst>
            <a:ext uri="{FF2B5EF4-FFF2-40B4-BE49-F238E27FC236}">
              <a16:creationId xmlns:a16="http://schemas.microsoft.com/office/drawing/2014/main" id="{396CFC67-A839-6BE8-9C52-DB96B485238B}"/>
            </a:ext>
          </a:extLst>
        </xdr:cNvPr>
        <xdr:cNvSpPr txBox="1"/>
      </xdr:nvSpPr>
      <xdr:spPr>
        <a:xfrm>
          <a:off x="1059180" y="488475"/>
          <a:ext cx="9220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37A6B3-A8CA-4E94-9D1D-DF2865CB5C3E}" type="TxLink">
            <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rPr>
            <a:t>456</a:t>
          </a:fld>
          <a:endParaRPr lang="en-US" sz="1800" b="1">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1</xdr:col>
      <xdr:colOff>899160</xdr:colOff>
      <xdr:row>4</xdr:row>
      <xdr:rowOff>164309</xdr:rowOff>
    </xdr:from>
    <xdr:to>
      <xdr:col>3</xdr:col>
      <xdr:colOff>0</xdr:colOff>
      <xdr:row>7</xdr:row>
      <xdr:rowOff>19529</xdr:rowOff>
    </xdr:to>
    <xdr:sp macro="" textlink="Pivots!H4">
      <xdr:nvSpPr>
        <xdr:cNvPr id="9" name="TextBox 8">
          <a:extLst>
            <a:ext uri="{FF2B5EF4-FFF2-40B4-BE49-F238E27FC236}">
              <a16:creationId xmlns:a16="http://schemas.microsoft.com/office/drawing/2014/main" id="{C9BF6FC5-E544-4D6F-9189-858484D7FCF8}"/>
            </a:ext>
          </a:extLst>
        </xdr:cNvPr>
        <xdr:cNvSpPr txBox="1"/>
      </xdr:nvSpPr>
      <xdr:spPr>
        <a:xfrm>
          <a:off x="1127760" y="895829"/>
          <a:ext cx="8534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8C6F1C-6B34-48CB-BC04-EDFCFA5D1917}" type="TxLink">
            <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2,240</a:t>
          </a:fld>
          <a:endPar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1150620</xdr:colOff>
      <xdr:row>9</xdr:row>
      <xdr:rowOff>64617</xdr:rowOff>
    </xdr:from>
    <xdr:to>
      <xdr:col>3</xdr:col>
      <xdr:colOff>0</xdr:colOff>
      <xdr:row>11</xdr:row>
      <xdr:rowOff>102717</xdr:rowOff>
    </xdr:to>
    <xdr:sp macro="" textlink="Pivots!J4">
      <xdr:nvSpPr>
        <xdr:cNvPr id="11" name="TextBox 10">
          <a:extLst>
            <a:ext uri="{FF2B5EF4-FFF2-40B4-BE49-F238E27FC236}">
              <a16:creationId xmlns:a16="http://schemas.microsoft.com/office/drawing/2014/main" id="{B9A52F09-AB6D-4803-89A4-F09F7D1EB377}"/>
            </a:ext>
          </a:extLst>
        </xdr:cNvPr>
        <xdr:cNvSpPr txBox="1"/>
      </xdr:nvSpPr>
      <xdr:spPr>
        <a:xfrm>
          <a:off x="1379220" y="1710537"/>
          <a:ext cx="6019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5B33C6-F14A-431A-A0B2-EA2A3BC393F5}" type="TxLink">
            <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708660</xdr:colOff>
      <xdr:row>7</xdr:row>
      <xdr:rowOff>23023</xdr:rowOff>
    </xdr:from>
    <xdr:to>
      <xdr:col>3</xdr:col>
      <xdr:colOff>0</xdr:colOff>
      <xdr:row>9</xdr:row>
      <xdr:rowOff>61123</xdr:rowOff>
    </xdr:to>
    <xdr:sp macro="" textlink="Pivots!I4">
      <xdr:nvSpPr>
        <xdr:cNvPr id="12" name="TextBox 11">
          <a:extLst>
            <a:ext uri="{FF2B5EF4-FFF2-40B4-BE49-F238E27FC236}">
              <a16:creationId xmlns:a16="http://schemas.microsoft.com/office/drawing/2014/main" id="{6D0835E3-AD68-4D0F-8F55-4E6A3FAA2FDE}"/>
            </a:ext>
          </a:extLst>
        </xdr:cNvPr>
        <xdr:cNvSpPr txBox="1"/>
      </xdr:nvSpPr>
      <xdr:spPr>
        <a:xfrm>
          <a:off x="937260" y="1303183"/>
          <a:ext cx="10439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682CB4-638E-4DDD-8419-61CD1509DD4A}" type="TxLink">
            <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$123.1k</a:t>
          </a:fld>
          <a:endPar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2</xdr:row>
      <xdr:rowOff>175260</xdr:rowOff>
    </xdr:from>
    <xdr:to>
      <xdr:col>1</xdr:col>
      <xdr:colOff>548640</xdr:colOff>
      <xdr:row>4</xdr:row>
      <xdr:rowOff>68580</xdr:rowOff>
    </xdr:to>
    <xdr:sp macro="" textlink="">
      <xdr:nvSpPr>
        <xdr:cNvPr id="14" name="TextBox 13">
          <a:extLst>
            <a:ext uri="{FF2B5EF4-FFF2-40B4-BE49-F238E27FC236}">
              <a16:creationId xmlns:a16="http://schemas.microsoft.com/office/drawing/2014/main" id="{BF7EA769-596E-9DBA-65BC-B22210056A85}"/>
            </a:ext>
          </a:extLst>
        </xdr:cNvPr>
        <xdr:cNvSpPr txBox="1"/>
      </xdr:nvSpPr>
      <xdr:spPr>
        <a:xfrm>
          <a:off x="0" y="541020"/>
          <a:ext cx="777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🛒Orders</a:t>
          </a:r>
        </a:p>
      </xdr:txBody>
    </xdr:sp>
    <xdr:clientData/>
  </xdr:twoCellAnchor>
  <xdr:twoCellAnchor>
    <xdr:from>
      <xdr:col>0</xdr:col>
      <xdr:colOff>0</xdr:colOff>
      <xdr:row>9</xdr:row>
      <xdr:rowOff>122880</xdr:rowOff>
    </xdr:from>
    <xdr:to>
      <xdr:col>1</xdr:col>
      <xdr:colOff>922020</xdr:colOff>
      <xdr:row>11</xdr:row>
      <xdr:rowOff>16200</xdr:rowOff>
    </xdr:to>
    <xdr:sp macro="" textlink="">
      <xdr:nvSpPr>
        <xdr:cNvPr id="17" name="TextBox 16">
          <a:extLst>
            <a:ext uri="{FF2B5EF4-FFF2-40B4-BE49-F238E27FC236}">
              <a16:creationId xmlns:a16="http://schemas.microsoft.com/office/drawing/2014/main" id="{F6CE5201-CC13-4E1B-8F2C-B35849DFBF65}"/>
            </a:ext>
          </a:extLst>
        </xdr:cNvPr>
        <xdr:cNvSpPr txBox="1"/>
      </xdr:nvSpPr>
      <xdr:spPr>
        <a:xfrm>
          <a:off x="0" y="1768800"/>
          <a:ext cx="1150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⭐Avg.</a:t>
          </a:r>
          <a:r>
            <a:rPr lang="en-US" sz="1100" baseline="0">
              <a:solidFill>
                <a:schemeClr val="bg1">
                  <a:lumMod val="95000"/>
                </a:schemeClr>
              </a:solidFill>
            </a:rPr>
            <a:t> Rating</a:t>
          </a:r>
          <a:endParaRPr lang="en-US" sz="1100">
            <a:solidFill>
              <a:schemeClr val="bg1">
                <a:lumMod val="95000"/>
              </a:schemeClr>
            </a:solidFill>
          </a:endParaRPr>
        </a:p>
      </xdr:txBody>
    </xdr:sp>
    <xdr:clientData/>
  </xdr:twoCellAnchor>
  <xdr:twoCellAnchor>
    <xdr:from>
      <xdr:col>0</xdr:col>
      <xdr:colOff>0</xdr:colOff>
      <xdr:row>5</xdr:row>
      <xdr:rowOff>35880</xdr:rowOff>
    </xdr:from>
    <xdr:to>
      <xdr:col>1</xdr:col>
      <xdr:colOff>784860</xdr:colOff>
      <xdr:row>6</xdr:row>
      <xdr:rowOff>112080</xdr:rowOff>
    </xdr:to>
    <xdr:sp macro="" textlink="">
      <xdr:nvSpPr>
        <xdr:cNvPr id="18" name="TextBox 17">
          <a:extLst>
            <a:ext uri="{FF2B5EF4-FFF2-40B4-BE49-F238E27FC236}">
              <a16:creationId xmlns:a16="http://schemas.microsoft.com/office/drawing/2014/main" id="{2E3AD8BC-8B2A-5453-ACF9-D1490CC7D621}"/>
            </a:ext>
          </a:extLst>
        </xdr:cNvPr>
        <xdr:cNvSpPr txBox="1"/>
      </xdr:nvSpPr>
      <xdr:spPr>
        <a:xfrm>
          <a:off x="0" y="95028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👕Quantity</a:t>
          </a:r>
        </a:p>
      </xdr:txBody>
    </xdr:sp>
    <xdr:clientData/>
  </xdr:twoCellAnchor>
  <xdr:twoCellAnchor>
    <xdr:from>
      <xdr:col>0</xdr:col>
      <xdr:colOff>0</xdr:colOff>
      <xdr:row>7</xdr:row>
      <xdr:rowOff>79380</xdr:rowOff>
    </xdr:from>
    <xdr:to>
      <xdr:col>1</xdr:col>
      <xdr:colOff>685800</xdr:colOff>
      <xdr:row>8</xdr:row>
      <xdr:rowOff>155580</xdr:rowOff>
    </xdr:to>
    <xdr:sp macro="" textlink="">
      <xdr:nvSpPr>
        <xdr:cNvPr id="19" name="TextBox 18">
          <a:extLst>
            <a:ext uri="{FF2B5EF4-FFF2-40B4-BE49-F238E27FC236}">
              <a16:creationId xmlns:a16="http://schemas.microsoft.com/office/drawing/2014/main" id="{6676C455-F4E0-EB10-70F8-33C5749C3329}"/>
            </a:ext>
          </a:extLst>
        </xdr:cNvPr>
        <xdr:cNvSpPr txBox="1"/>
      </xdr:nvSpPr>
      <xdr:spPr>
        <a:xfrm>
          <a:off x="0" y="135954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💰Amount</a:t>
          </a:r>
        </a:p>
      </xdr:txBody>
    </xdr:sp>
    <xdr:clientData/>
  </xdr:twoCellAnchor>
  <xdr:twoCellAnchor>
    <xdr:from>
      <xdr:col>0</xdr:col>
      <xdr:colOff>0</xdr:colOff>
      <xdr:row>11</xdr:row>
      <xdr:rowOff>166380</xdr:rowOff>
    </xdr:from>
    <xdr:to>
      <xdr:col>1</xdr:col>
      <xdr:colOff>1226820</xdr:colOff>
      <xdr:row>13</xdr:row>
      <xdr:rowOff>59700</xdr:rowOff>
    </xdr:to>
    <xdr:sp macro="" textlink="">
      <xdr:nvSpPr>
        <xdr:cNvPr id="22" name="TextBox 21">
          <a:extLst>
            <a:ext uri="{FF2B5EF4-FFF2-40B4-BE49-F238E27FC236}">
              <a16:creationId xmlns:a16="http://schemas.microsoft.com/office/drawing/2014/main" id="{46D715CF-44F0-4858-A8B8-00F543A2B563}"/>
            </a:ext>
          </a:extLst>
        </xdr:cNvPr>
        <xdr:cNvSpPr txBox="1"/>
      </xdr:nvSpPr>
      <xdr:spPr>
        <a:xfrm>
          <a:off x="0" y="2178060"/>
          <a:ext cx="1455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📅Days</a:t>
          </a:r>
          <a:r>
            <a:rPr lang="en-US" sz="1100" baseline="0">
              <a:solidFill>
                <a:schemeClr val="bg1">
                  <a:lumMod val="95000"/>
                </a:schemeClr>
              </a:solidFill>
            </a:rPr>
            <a:t> to Deliver</a:t>
          </a:r>
          <a:endParaRPr lang="en-US" sz="1100">
            <a:solidFill>
              <a:schemeClr val="bg1">
                <a:lumMod val="95000"/>
              </a:schemeClr>
            </a:solidFill>
          </a:endParaRPr>
        </a:p>
      </xdr:txBody>
    </xdr:sp>
    <xdr:clientData/>
  </xdr:twoCellAnchor>
  <xdr:twoCellAnchor>
    <xdr:from>
      <xdr:col>3</xdr:col>
      <xdr:colOff>26894</xdr:colOff>
      <xdr:row>0</xdr:row>
      <xdr:rowOff>20021</xdr:rowOff>
    </xdr:from>
    <xdr:to>
      <xdr:col>10</xdr:col>
      <xdr:colOff>68580</xdr:colOff>
      <xdr:row>12</xdr:row>
      <xdr:rowOff>99060</xdr:rowOff>
    </xdr:to>
    <xdr:graphicFrame macro="">
      <xdr:nvGraphicFramePr>
        <xdr:cNvPr id="23" name="Chart 22">
          <a:extLst>
            <a:ext uri="{FF2B5EF4-FFF2-40B4-BE49-F238E27FC236}">
              <a16:creationId xmlns:a16="http://schemas.microsoft.com/office/drawing/2014/main" id="{CE480712-2773-4EF5-9FE9-91DF81A80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128495</xdr:colOff>
      <xdr:row>0</xdr:row>
      <xdr:rowOff>1</xdr:rowOff>
    </xdr:from>
    <xdr:to>
      <xdr:col>16</xdr:col>
      <xdr:colOff>495300</xdr:colOff>
      <xdr:row>12</xdr:row>
      <xdr:rowOff>91440</xdr:rowOff>
    </xdr:to>
    <xdr:sp macro="" textlink="">
      <xdr:nvSpPr>
        <xdr:cNvPr id="30" name="Rectangle 29">
          <a:extLst>
            <a:ext uri="{FF2B5EF4-FFF2-40B4-BE49-F238E27FC236}">
              <a16:creationId xmlns:a16="http://schemas.microsoft.com/office/drawing/2014/main" id="{A54A331D-31C8-F4EF-64E9-607B7240F33E}"/>
            </a:ext>
          </a:extLst>
        </xdr:cNvPr>
        <xdr:cNvSpPr/>
      </xdr:nvSpPr>
      <xdr:spPr>
        <a:xfrm>
          <a:off x="5995895" y="1"/>
          <a:ext cx="4024405" cy="2285999"/>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16</xdr:col>
      <xdr:colOff>563880</xdr:colOff>
      <xdr:row>0</xdr:row>
      <xdr:rowOff>0</xdr:rowOff>
    </xdr:from>
    <xdr:to>
      <xdr:col>23</xdr:col>
      <xdr:colOff>335280</xdr:colOff>
      <xdr:row>10</xdr:row>
      <xdr:rowOff>0</xdr:rowOff>
    </xdr:to>
    <xdr:graphicFrame macro="">
      <xdr:nvGraphicFramePr>
        <xdr:cNvPr id="29" name="Chart 28">
          <a:extLst>
            <a:ext uri="{FF2B5EF4-FFF2-40B4-BE49-F238E27FC236}">
              <a16:creationId xmlns:a16="http://schemas.microsoft.com/office/drawing/2014/main" id="{143A7224-D8B5-4EBC-943E-EEB2B0CCE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222525</xdr:colOff>
          <xdr:row>2</xdr:row>
          <xdr:rowOff>110514</xdr:rowOff>
        </xdr:from>
        <xdr:to>
          <xdr:col>16</xdr:col>
          <xdr:colOff>403860</xdr:colOff>
          <xdr:row>11</xdr:row>
          <xdr:rowOff>72166</xdr:rowOff>
        </xdr:to>
        <xdr:pic>
          <xdr:nvPicPr>
            <xdr:cNvPr id="28" name="Picture 27">
              <a:extLst>
                <a:ext uri="{FF2B5EF4-FFF2-40B4-BE49-F238E27FC236}">
                  <a16:creationId xmlns:a16="http://schemas.microsoft.com/office/drawing/2014/main" id="{057842CC-D627-FD07-7D22-9E844B85A1F2}"/>
                </a:ext>
              </a:extLst>
            </xdr:cNvPr>
            <xdr:cNvPicPr>
              <a:picLocks noChangeAspect="1" noChangeArrowheads="1"/>
              <a:extLst>
                <a:ext uri="{84589F7E-364E-4C9E-8A38-B11213B215E9}">
                  <a14:cameraTool cellRange="Sheet3!$H$4:$L$9" spid="_x0000_s1037"/>
                </a:ext>
              </a:extLst>
            </xdr:cNvPicPr>
          </xdr:nvPicPr>
          <xdr:blipFill>
            <a:blip xmlns:r="http://schemas.openxmlformats.org/officeDocument/2006/relationships" r:embed="rId4"/>
            <a:srcRect/>
            <a:stretch>
              <a:fillRect/>
            </a:stretch>
          </xdr:blipFill>
          <xdr:spPr bwMode="auto">
            <a:xfrm>
              <a:off x="6089925" y="476274"/>
              <a:ext cx="3838935" cy="1607572"/>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xdr:twoCellAnchor>
    <xdr:from>
      <xdr:col>3</xdr:col>
      <xdr:colOff>22860</xdr:colOff>
      <xdr:row>13</xdr:row>
      <xdr:rowOff>0</xdr:rowOff>
    </xdr:from>
    <xdr:to>
      <xdr:col>10</xdr:col>
      <xdr:colOff>68580</xdr:colOff>
      <xdr:row>29</xdr:row>
      <xdr:rowOff>109368</xdr:rowOff>
    </xdr:to>
    <xdr:graphicFrame macro="">
      <xdr:nvGraphicFramePr>
        <xdr:cNvPr id="31" name="Chart 30">
          <a:extLst>
            <a:ext uri="{FF2B5EF4-FFF2-40B4-BE49-F238E27FC236}">
              <a16:creationId xmlns:a16="http://schemas.microsoft.com/office/drawing/2014/main" id="{366559B2-9A1A-4309-855A-4EF839306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160020</xdr:colOff>
      <xdr:row>22</xdr:row>
      <xdr:rowOff>53340</xdr:rowOff>
    </xdr:from>
    <xdr:to>
      <xdr:col>8</xdr:col>
      <xdr:colOff>0</xdr:colOff>
      <xdr:row>29</xdr:row>
      <xdr:rowOff>13252</xdr:rowOff>
    </xdr:to>
    <xdr:graphicFrame macro="">
      <xdr:nvGraphicFramePr>
        <xdr:cNvPr id="32" name="Chart 31">
          <a:extLst>
            <a:ext uri="{FF2B5EF4-FFF2-40B4-BE49-F238E27FC236}">
              <a16:creationId xmlns:a16="http://schemas.microsoft.com/office/drawing/2014/main" id="{3D184112-061A-45D5-B31F-6CA75A6EB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130693</xdr:colOff>
      <xdr:row>13</xdr:row>
      <xdr:rowOff>0</xdr:rowOff>
    </xdr:from>
    <xdr:to>
      <xdr:col>16</xdr:col>
      <xdr:colOff>495300</xdr:colOff>
      <xdr:row>29</xdr:row>
      <xdr:rowOff>110714</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BCE78DF7-BC71-4B19-BE1D-C87EAB69CE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998093" y="2377440"/>
              <a:ext cx="4022207" cy="30367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579120</xdr:colOff>
      <xdr:row>17</xdr:row>
      <xdr:rowOff>45720</xdr:rowOff>
    </xdr:from>
    <xdr:to>
      <xdr:col>16</xdr:col>
      <xdr:colOff>419100</xdr:colOff>
      <xdr:row>24</xdr:row>
      <xdr:rowOff>175260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8596EDD8-B7CA-4A13-A877-56998A14F3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884920" y="3154680"/>
              <a:ext cx="1059180" cy="1409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556260</xdr:colOff>
      <xdr:row>10</xdr:row>
      <xdr:rowOff>114300</xdr:rowOff>
    </xdr:from>
    <xdr:to>
      <xdr:col>23</xdr:col>
      <xdr:colOff>350520</xdr:colOff>
      <xdr:row>19</xdr:row>
      <xdr:rowOff>83820</xdr:rowOff>
    </xdr:to>
    <xdr:graphicFrame macro="">
      <xdr:nvGraphicFramePr>
        <xdr:cNvPr id="35" name="Chart 34">
          <a:extLst>
            <a:ext uri="{FF2B5EF4-FFF2-40B4-BE49-F238E27FC236}">
              <a16:creationId xmlns:a16="http://schemas.microsoft.com/office/drawing/2014/main" id="{577D6F32-F82E-409B-A3CD-D0424AD05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548640</xdr:colOff>
      <xdr:row>20</xdr:row>
      <xdr:rowOff>0</xdr:rowOff>
    </xdr:from>
    <xdr:to>
      <xdr:col>23</xdr:col>
      <xdr:colOff>327660</xdr:colOff>
      <xdr:row>29</xdr:row>
      <xdr:rowOff>99060</xdr:rowOff>
    </xdr:to>
    <xdr:graphicFrame macro="">
      <xdr:nvGraphicFramePr>
        <xdr:cNvPr id="36" name="Chart 35">
          <a:extLst>
            <a:ext uri="{FF2B5EF4-FFF2-40B4-BE49-F238E27FC236}">
              <a16:creationId xmlns:a16="http://schemas.microsoft.com/office/drawing/2014/main" id="{4B89B48A-67A4-4467-B55F-9DFE194A3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45720</xdr:colOff>
      <xdr:row>14</xdr:row>
      <xdr:rowOff>7620</xdr:rowOff>
    </xdr:from>
    <xdr:to>
      <xdr:col>2</xdr:col>
      <xdr:colOff>205740</xdr:colOff>
      <xdr:row>23</xdr:row>
      <xdr:rowOff>91440</xdr:rowOff>
    </xdr:to>
    <mc:AlternateContent xmlns:mc="http://schemas.openxmlformats.org/markup-compatibility/2006">
      <mc:Choice xmlns:a14="http://schemas.microsoft.com/office/drawing/2010/main" Requires="a14">
        <xdr:graphicFrame macro="">
          <xdr:nvGraphicFramePr>
            <xdr:cNvPr id="37" name="Order Mode">
              <a:extLst>
                <a:ext uri="{FF2B5EF4-FFF2-40B4-BE49-F238E27FC236}">
                  <a16:creationId xmlns:a16="http://schemas.microsoft.com/office/drawing/2014/main" id="{21811D70-BBBA-4772-B51D-2D7F5F8D6FD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45720" y="2567940"/>
              <a:ext cx="191262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99060</xdr:rowOff>
    </xdr:from>
    <xdr:to>
      <xdr:col>2</xdr:col>
      <xdr:colOff>198120</xdr:colOff>
      <xdr:row>31</xdr:row>
      <xdr:rowOff>0</xdr:rowOff>
    </xdr:to>
    <mc:AlternateContent xmlns:mc="http://schemas.openxmlformats.org/markup-compatibility/2006">
      <mc:Choice xmlns:a14="http://schemas.microsoft.com/office/drawing/2010/main" Requires="a14">
        <xdr:graphicFrame macro="">
          <xdr:nvGraphicFramePr>
            <xdr:cNvPr id="38" name="Gender Value">
              <a:extLst>
                <a:ext uri="{FF2B5EF4-FFF2-40B4-BE49-F238E27FC236}">
                  <a16:creationId xmlns:a16="http://schemas.microsoft.com/office/drawing/2014/main" id="{70979BDC-5264-4E75-9120-6E57FBCDDB5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45720" y="4305300"/>
              <a:ext cx="19050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1165860</xdr:colOff>
      <xdr:row>11</xdr:row>
      <xdr:rowOff>106212</xdr:rowOff>
    </xdr:from>
    <xdr:to>
      <xdr:col>3</xdr:col>
      <xdr:colOff>0</xdr:colOff>
      <xdr:row>13</xdr:row>
      <xdr:rowOff>144312</xdr:rowOff>
    </xdr:to>
    <xdr:sp macro="" textlink="Pivots!K4">
      <xdr:nvSpPr>
        <xdr:cNvPr id="39" name="TextBox 38">
          <a:extLst>
            <a:ext uri="{FF2B5EF4-FFF2-40B4-BE49-F238E27FC236}">
              <a16:creationId xmlns:a16="http://schemas.microsoft.com/office/drawing/2014/main" id="{E9788922-C5E9-C7C1-14AE-07227B6D88CC}"/>
            </a:ext>
          </a:extLst>
        </xdr:cNvPr>
        <xdr:cNvSpPr txBox="1"/>
      </xdr:nvSpPr>
      <xdr:spPr>
        <a:xfrm>
          <a:off x="1394460" y="2117892"/>
          <a:ext cx="5867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53ACC-A2BD-4DEE-B4BC-369B61FFFAEE}" type="TxLink">
            <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2.4</a:t>
          </a:fld>
          <a:endParaRPr lang="en-US" sz="1800" b="1" i="0" u="none" strike="noStrike">
            <a:gradFill>
              <a:gsLst>
                <a:gs pos="95750">
                  <a:schemeClr val="bg1">
                    <a:lumMod val="75000"/>
                  </a:schemeClr>
                </a:gs>
                <a:gs pos="91500">
                  <a:srgbClr val="DBE7E0"/>
                </a:gs>
                <a:gs pos="83000">
                  <a:schemeClr val="accent1">
                    <a:lumMod val="45000"/>
                    <a:lumOff val="55000"/>
                  </a:schemeClr>
                </a:gs>
                <a:gs pos="100000">
                  <a:schemeClr val="bg1">
                    <a:lumMod val="6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12</xdr:col>
      <xdr:colOff>76200</xdr:colOff>
      <xdr:row>0</xdr:row>
      <xdr:rowOff>137160</xdr:rowOff>
    </xdr:from>
    <xdr:to>
      <xdr:col>15</xdr:col>
      <xdr:colOff>38100</xdr:colOff>
      <xdr:row>2</xdr:row>
      <xdr:rowOff>106680</xdr:rowOff>
    </xdr:to>
    <xdr:sp macro="" textlink="">
      <xdr:nvSpPr>
        <xdr:cNvPr id="50" name="TextBox 49">
          <a:extLst>
            <a:ext uri="{FF2B5EF4-FFF2-40B4-BE49-F238E27FC236}">
              <a16:creationId xmlns:a16="http://schemas.microsoft.com/office/drawing/2014/main" id="{63DE9175-88C2-4521-0362-DB1632F0AEC4}"/>
            </a:ext>
          </a:extLst>
        </xdr:cNvPr>
        <xdr:cNvSpPr txBox="1"/>
      </xdr:nvSpPr>
      <xdr:spPr>
        <a:xfrm>
          <a:off x="7162800" y="137160"/>
          <a:ext cx="17907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a:t>How</a:t>
          </a:r>
          <a:r>
            <a:rPr lang="en-US" sz="1400" baseline="0"/>
            <a:t> they like to buy?</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less" refreshedDate="46045.760351504628" createdVersion="8" refreshedVersion="8" minRefreshableVersion="3" recordCount="2400" xr:uid="{1B625AF6-8FE6-4F35-9D1B-3C25A5B951B1}">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860904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FED7A-4EAF-4147-BA70-FA3BBCC5B334}" name="pvtTrend"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C25"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9A81B-14E9-4973-9A2B-DC47899F7DCA}" name="pvtSumma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90B98-D65F-4988-B469-0BA6ACCC2738}" name="pvtMatrix"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h="1"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i>
    <i t="grand">
      <x/>
    </i>
  </rowItems>
  <colFields count="1">
    <field x="14"/>
  </colFields>
  <colItems count="2">
    <i>
      <x/>
    </i>
    <i t="grand">
      <x/>
    </i>
  </colItems>
  <dataFields count="1">
    <dataField name="Sum of Amount" fld="4"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D5610-D434-4CD5-B8B1-564A24129625}" name="pvtQt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955910-D4BE-44D7-BFE8-538324C864AA}" name="pvtGend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Row" showAll="0">
      <items count="5">
        <item x="2"/>
        <item h="1"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4" count="1" selected="0">
            <x v="0"/>
          </reference>
        </references>
      </pivotArea>
    </chartFormat>
    <chartFormat chart="9" format="8">
      <pivotArea type="data" outline="0" fieldPosition="0">
        <references count="2">
          <reference field="4294967294" count="1" selected="0">
            <x v="0"/>
          </reference>
          <reference field="14" count="1" selected="0">
            <x v="1"/>
          </reference>
        </references>
      </pivotArea>
    </chartFormat>
    <chartFormat chart="9" format="9">
      <pivotArea type="data" outline="0" fieldPosition="0">
        <references count="2">
          <reference field="4294967294" count="1" selected="0">
            <x v="0"/>
          </reference>
          <reference field="14" count="1" selected="0">
            <x v="2"/>
          </reference>
        </references>
      </pivotArea>
    </chartFormat>
    <chartFormat chart="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8426D-8B93-4A75-9004-EC21F05E8450}" name="pvtProduc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3"/>
    </i>
    <i>
      <x v="18"/>
    </i>
    <i>
      <x v="16"/>
    </i>
    <i>
      <x v="14"/>
    </i>
    <i>
      <x v="12"/>
    </i>
    <i>
      <x v="4"/>
    </i>
    <i>
      <x v="1"/>
    </i>
    <i>
      <x v="11"/>
    </i>
    <i>
      <x v="5"/>
    </i>
    <i>
      <x v="2"/>
    </i>
    <i>
      <x v="8"/>
    </i>
    <i>
      <x v="3"/>
    </i>
    <i>
      <x v="19"/>
    </i>
    <i>
      <x v="9"/>
    </i>
    <i>
      <x v="15"/>
    </i>
    <i>
      <x v="17"/>
    </i>
    <i>
      <x v="10"/>
    </i>
    <i>
      <x/>
    </i>
    <i>
      <x v="7"/>
    </i>
    <i t="grand">
      <x/>
    </i>
  </rowItems>
  <colFields count="1">
    <field x="14"/>
  </colFields>
  <colItems count="2">
    <i>
      <x/>
    </i>
    <i t="grand">
      <x/>
    </i>
  </colItems>
  <dataFields count="1">
    <dataField name="Sum of Quantity" fld="2" baseField="0" baseItem="0"/>
  </dataFields>
  <chartFormats count="4">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E570EF-36AD-4FAE-8940-1E35230F1E3B}" name="pvtQtyAmount" cacheId="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7"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h="1" x="3"/>
        <item h="1" x="4"/>
        <item h="1" x="2"/>
        <item h="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h="1" x="1"/>
        <item h="1" x="3"/>
        <item h="1"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44">
    <i>
      <x/>
      <x/>
    </i>
    <i r="1">
      <x v="2"/>
    </i>
    <i r="1">
      <x v="3"/>
    </i>
    <i r="1">
      <x v="4"/>
    </i>
    <i r="1">
      <x v="5"/>
    </i>
    <i r="1">
      <x v="6"/>
    </i>
    <i r="1">
      <x v="8"/>
    </i>
    <i r="1">
      <x v="9"/>
    </i>
    <i r="1">
      <x v="11"/>
    </i>
    <i r="1">
      <x v="12"/>
    </i>
    <i r="1">
      <x v="14"/>
    </i>
    <i r="1">
      <x v="15"/>
    </i>
    <i r="1">
      <x v="16"/>
    </i>
    <i r="1">
      <x v="18"/>
    </i>
    <i r="1">
      <x v="19"/>
    </i>
    <i r="1">
      <x v="21"/>
    </i>
    <i r="1">
      <x v="22"/>
    </i>
    <i r="1">
      <x v="23"/>
    </i>
    <i r="1">
      <x v="27"/>
    </i>
    <i r="1">
      <x v="28"/>
    </i>
    <i r="1">
      <x v="29"/>
    </i>
    <i r="1">
      <x v="30"/>
    </i>
    <i r="1">
      <x v="31"/>
    </i>
    <i r="1">
      <x v="32"/>
    </i>
    <i r="1">
      <x v="33"/>
    </i>
    <i r="1">
      <x v="34"/>
    </i>
    <i r="1">
      <x v="35"/>
    </i>
    <i r="1">
      <x v="36"/>
    </i>
    <i r="1">
      <x v="37"/>
    </i>
    <i r="1">
      <x v="38"/>
    </i>
    <i r="1">
      <x v="39"/>
    </i>
    <i r="1">
      <x v="40"/>
    </i>
    <i r="1">
      <x v="41"/>
    </i>
    <i r="1">
      <x v="42"/>
    </i>
    <i r="1">
      <x v="43"/>
    </i>
    <i r="1">
      <x v="46"/>
    </i>
    <i r="1">
      <x v="48"/>
    </i>
    <i r="1">
      <x v="49"/>
    </i>
    <i r="1">
      <x v="50"/>
    </i>
    <i r="1">
      <x v="53"/>
    </i>
    <i r="1">
      <x v="54"/>
    </i>
    <i r="1">
      <x v="55"/>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7DFC9B-F7EA-4DE7-8117-D22FEC6B84C3}" name="pvtRating"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L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13" series="1">
      <pivotArea type="data" outline="0" fieldPosition="0">
        <references count="2">
          <reference field="4294967294" count="1" selected="0">
            <x v="0"/>
          </reference>
          <reference field="9" count="1" selected="0">
            <x v="0"/>
          </reference>
        </references>
      </pivotArea>
    </chartFormat>
    <chartFormat chart="11" format="14" series="1">
      <pivotArea type="data" outline="0" fieldPosition="0">
        <references count="2">
          <reference field="4294967294" count="1" selected="0">
            <x v="0"/>
          </reference>
          <reference field="9" count="1" selected="0">
            <x v="1"/>
          </reference>
        </references>
      </pivotArea>
    </chartFormat>
    <chartFormat chart="11" format="15" series="1">
      <pivotArea type="data" outline="0" fieldPosition="0">
        <references count="2">
          <reference field="4294967294" count="1" selected="0">
            <x v="0"/>
          </reference>
          <reference field="9" count="1" selected="0">
            <x v="2"/>
          </reference>
        </references>
      </pivotArea>
    </chartFormat>
    <chartFormat chart="11" format="16" series="1">
      <pivotArea type="data" outline="0" fieldPosition="0">
        <references count="2">
          <reference field="4294967294" count="1" selected="0">
            <x v="0"/>
          </reference>
          <reference field="9" count="1" selected="0">
            <x v="3"/>
          </reference>
        </references>
      </pivotArea>
    </chartFormat>
    <chartFormat chart="11"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3BDAF7-9255-4AFA-AB99-599545D03F31}" name="pvtDura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E3B9994-B280-4B46-A2B5-A7278B9AC743}" sourceName="Order Mode">
  <pivotTables>
    <pivotTable tabId="11" name="pvtRating"/>
    <pivotTable tabId="5" name="pvtSummary"/>
    <pivotTable tabId="5" name="pvtTrend"/>
    <pivotTable tabId="7" name="pvtMatrix"/>
    <pivotTable tabId="8" name="pvtQty"/>
    <pivotTable tabId="9" name="pvtGender"/>
    <pivotTable tabId="9" name="pvtProduct"/>
    <pivotTable tabId="10" name="pvtQtyAmount"/>
    <pivotTable tabId="11" name="pvtDuration"/>
  </pivotTables>
  <data>
    <tabular pivotCacheId="860904155">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DF19B8E-E014-4461-A791-C0FBEC235876}" sourceName="Gender Value">
  <pivotTables>
    <pivotTable tabId="11" name="pvtRating"/>
    <pivotTable tabId="5" name="pvtSummary"/>
    <pivotTable tabId="5" name="pvtTrend"/>
    <pivotTable tabId="7" name="pvtMatrix"/>
    <pivotTable tabId="8" name="pvtQty"/>
    <pivotTable tabId="9" name="pvtGender"/>
    <pivotTable tabId="9" name="pvtProduct"/>
    <pivotTable tabId="10" name="pvtQtyAmount"/>
    <pivotTable tabId="11" name="pvtDuration"/>
  </pivotTables>
  <data>
    <tabular pivotCacheId="860904155">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513FCC54-59B0-4893-9A9C-ED9FD30544E8}" cache="Slicer_Order_Mode" caption="Order Mode" rowHeight="247650"/>
  <slicer name="Gender Value" xr10:uid="{419D1BE7-020F-4668-8A42-3C8D218FBB1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X11"/>
  <sheetViews>
    <sheetView tabSelected="1" zoomScaleNormal="100" workbookViewId="0">
      <selection activeCell="B36" sqref="B36"/>
    </sheetView>
  </sheetViews>
  <sheetFormatPr defaultRowHeight="14.4" x14ac:dyDescent="0.3"/>
  <cols>
    <col min="1" max="1" width="3.33203125" customWidth="1"/>
    <col min="2" max="2" width="22.21875" customWidth="1"/>
    <col min="3" max="4" width="3.33203125" customWidth="1"/>
    <col min="26" max="26" width="3.33203125" customWidth="1"/>
  </cols>
  <sheetData>
    <row r="11" spans="24:24" x14ac:dyDescent="0.3">
      <c r="X11"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FB79-475A-4D4C-8071-52AF83EFCF85}">
  <dimension ref="A2:K25"/>
  <sheetViews>
    <sheetView workbookViewId="0">
      <selection activeCell="A11" sqref="A11"/>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s>
  <sheetData>
    <row r="2" spans="1:11" x14ac:dyDescent="0.3">
      <c r="G2" t="s">
        <v>2526</v>
      </c>
    </row>
    <row r="3" spans="1:11" x14ac:dyDescent="0.3">
      <c r="A3" t="s">
        <v>2521</v>
      </c>
      <c r="B3" t="s">
        <v>2522</v>
      </c>
      <c r="C3" t="s">
        <v>2523</v>
      </c>
      <c r="D3" t="s">
        <v>2524</v>
      </c>
      <c r="E3" t="s">
        <v>2525</v>
      </c>
      <c r="G3" t="s">
        <v>2518</v>
      </c>
      <c r="H3" t="s">
        <v>2528</v>
      </c>
      <c r="I3" t="s">
        <v>4</v>
      </c>
      <c r="J3" t="s">
        <v>2507</v>
      </c>
      <c r="K3" t="s">
        <v>2527</v>
      </c>
    </row>
    <row r="4" spans="1:11" x14ac:dyDescent="0.3">
      <c r="A4" s="7">
        <v>456</v>
      </c>
      <c r="B4" s="7">
        <v>2240</v>
      </c>
      <c r="C4" s="7">
        <v>123066.00000000009</v>
      </c>
      <c r="D4" s="7">
        <v>3.9649122807017543</v>
      </c>
      <c r="E4" s="7">
        <v>2.6491228070175437</v>
      </c>
      <c r="G4" t="str">
        <f>TEXT(A4,"#,##")</f>
        <v>456</v>
      </c>
      <c r="H4" t="str">
        <f t="shared" ref="H4:K4" si="0">TEXT(B4,"#,##")</f>
        <v>2,240</v>
      </c>
      <c r="I4" t="str">
        <f>TEXT(C4,"$#,##,.0k")</f>
        <v>$123.1k</v>
      </c>
      <c r="J4" t="str">
        <f>TEXT(D4,"0.0")</f>
        <v>4.0</v>
      </c>
      <c r="K4" t="str">
        <f>TEXT(E4,"0.0")</f>
        <v>2.6</v>
      </c>
    </row>
    <row r="9" spans="1:11" x14ac:dyDescent="0.3">
      <c r="A9" t="s">
        <v>2529</v>
      </c>
    </row>
    <row r="11" spans="1:11" x14ac:dyDescent="0.3">
      <c r="A11" s="5" t="s">
        <v>2519</v>
      </c>
      <c r="B11" t="s">
        <v>2522</v>
      </c>
      <c r="C11" t="s">
        <v>2523</v>
      </c>
    </row>
    <row r="12" spans="1:11" x14ac:dyDescent="0.3">
      <c r="A12" s="6">
        <v>1</v>
      </c>
      <c r="B12" s="7">
        <v>114</v>
      </c>
      <c r="C12" s="9">
        <v>6864.1</v>
      </c>
    </row>
    <row r="13" spans="1:11" x14ac:dyDescent="0.3">
      <c r="A13" s="6">
        <v>2</v>
      </c>
      <c r="B13" s="7">
        <v>191</v>
      </c>
      <c r="C13" s="9">
        <v>12839.000000000002</v>
      </c>
    </row>
    <row r="14" spans="1:11" x14ac:dyDescent="0.3">
      <c r="A14" s="6">
        <v>3</v>
      </c>
      <c r="B14" s="7">
        <v>111</v>
      </c>
      <c r="C14" s="9">
        <v>5635.2</v>
      </c>
    </row>
    <row r="15" spans="1:11" x14ac:dyDescent="0.3">
      <c r="A15" s="6">
        <v>4</v>
      </c>
      <c r="B15" s="7">
        <v>114</v>
      </c>
      <c r="C15" s="9">
        <v>6687.1</v>
      </c>
    </row>
    <row r="16" spans="1:11" x14ac:dyDescent="0.3">
      <c r="A16" s="6">
        <v>5</v>
      </c>
      <c r="B16" s="7">
        <v>197</v>
      </c>
      <c r="C16" s="9">
        <v>10485.699999999999</v>
      </c>
    </row>
    <row r="17" spans="1:3" x14ac:dyDescent="0.3">
      <c r="A17" s="6">
        <v>6</v>
      </c>
      <c r="B17" s="7">
        <v>345</v>
      </c>
      <c r="C17" s="9">
        <v>16762.299999999996</v>
      </c>
    </row>
    <row r="18" spans="1:3" x14ac:dyDescent="0.3">
      <c r="A18" s="6">
        <v>7</v>
      </c>
      <c r="B18" s="7">
        <v>245</v>
      </c>
      <c r="C18" s="9">
        <v>11681.299999999997</v>
      </c>
    </row>
    <row r="19" spans="1:3" x14ac:dyDescent="0.3">
      <c r="A19" s="6">
        <v>8</v>
      </c>
      <c r="B19" s="7">
        <v>191</v>
      </c>
      <c r="C19" s="9">
        <v>9424</v>
      </c>
    </row>
    <row r="20" spans="1:3" x14ac:dyDescent="0.3">
      <c r="A20" s="6">
        <v>9</v>
      </c>
      <c r="B20" s="7">
        <v>211</v>
      </c>
      <c r="C20" s="9">
        <v>10219.300000000001</v>
      </c>
    </row>
    <row r="21" spans="1:3" x14ac:dyDescent="0.3">
      <c r="A21" s="6">
        <v>10</v>
      </c>
      <c r="B21" s="7">
        <v>170</v>
      </c>
      <c r="C21" s="9">
        <v>9693.5999999999985</v>
      </c>
    </row>
    <row r="22" spans="1:3" x14ac:dyDescent="0.3">
      <c r="A22" s="6">
        <v>11</v>
      </c>
      <c r="B22" s="7">
        <v>100</v>
      </c>
      <c r="C22" s="9">
        <v>5402.7999999999993</v>
      </c>
    </row>
    <row r="23" spans="1:3" x14ac:dyDescent="0.3">
      <c r="A23" s="6">
        <v>12</v>
      </c>
      <c r="B23" s="7">
        <v>144</v>
      </c>
      <c r="C23" s="9">
        <v>10369.700000000001</v>
      </c>
    </row>
    <row r="24" spans="1:3" x14ac:dyDescent="0.3">
      <c r="A24" s="6">
        <v>13</v>
      </c>
      <c r="B24" s="7">
        <v>107</v>
      </c>
      <c r="C24" s="9">
        <v>7001.9000000000005</v>
      </c>
    </row>
    <row r="25" spans="1:3" x14ac:dyDescent="0.3">
      <c r="A25" s="6" t="s">
        <v>2520</v>
      </c>
      <c r="B25" s="7">
        <v>2240</v>
      </c>
      <c r="C25" s="9">
        <v>123066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CD80-D0B7-419F-B59C-D7F7F0AE460B}">
  <dimension ref="A3:L14"/>
  <sheetViews>
    <sheetView workbookViewId="0">
      <selection activeCell="A3" sqref="A3"/>
    </sheetView>
  </sheetViews>
  <sheetFormatPr defaultRowHeight="14.4" x14ac:dyDescent="0.3"/>
  <cols>
    <col min="1" max="1" width="13.5546875" bestFit="1" customWidth="1"/>
    <col min="2" max="2" width="15.5546875" bestFit="1" customWidth="1"/>
    <col min="3" max="3" width="10.5546875" bestFit="1" customWidth="1"/>
    <col min="4" max="4" width="6.109375" bestFit="1" customWidth="1"/>
    <col min="5" max="5" width="8.5546875" bestFit="1" customWidth="1"/>
    <col min="6" max="6" width="10.5546875" bestFit="1" customWidth="1"/>
    <col min="8" max="8" width="10.44140625" bestFit="1" customWidth="1"/>
  </cols>
  <sheetData>
    <row r="3" spans="1:12" x14ac:dyDescent="0.3">
      <c r="A3" s="5" t="s">
        <v>2523</v>
      </c>
      <c r="B3" s="5" t="s">
        <v>2530</v>
      </c>
      <c r="H3" t="s">
        <v>2532</v>
      </c>
    </row>
    <row r="4" spans="1:12" x14ac:dyDescent="0.3">
      <c r="A4" s="5" t="s">
        <v>2519</v>
      </c>
      <c r="B4" t="s">
        <v>2531</v>
      </c>
      <c r="C4" t="s">
        <v>2520</v>
      </c>
      <c r="H4" s="13"/>
      <c r="I4" s="13" t="str">
        <f>B4</f>
        <v>Female</v>
      </c>
      <c r="J4" s="13" t="str">
        <f t="shared" ref="J4:L4" si="0">C4</f>
        <v>Grand Total</v>
      </c>
      <c r="K4" s="13">
        <f t="shared" si="0"/>
        <v>0</v>
      </c>
      <c r="L4" s="13">
        <f t="shared" si="0"/>
        <v>0</v>
      </c>
    </row>
    <row r="5" spans="1:12" x14ac:dyDescent="0.3">
      <c r="A5" s="6" t="s">
        <v>18</v>
      </c>
      <c r="B5" s="10">
        <v>1</v>
      </c>
      <c r="C5" s="10">
        <v>1</v>
      </c>
      <c r="H5" s="13" t="str">
        <f>A5</f>
        <v>App</v>
      </c>
      <c r="I5" s="14">
        <f>B5</f>
        <v>1</v>
      </c>
      <c r="J5" s="14">
        <f t="shared" ref="I5:M5" si="1">C5</f>
        <v>1</v>
      </c>
      <c r="K5" s="14">
        <f t="shared" si="1"/>
        <v>0</v>
      </c>
      <c r="L5" s="14">
        <f t="shared" si="1"/>
        <v>0</v>
      </c>
    </row>
    <row r="6" spans="1:12" x14ac:dyDescent="0.3">
      <c r="A6" s="6" t="s">
        <v>2520</v>
      </c>
      <c r="B6" s="10">
        <v>1</v>
      </c>
      <c r="C6" s="10">
        <v>1</v>
      </c>
      <c r="H6" s="13" t="str">
        <f t="shared" ref="H6:H9" si="2">A6</f>
        <v>Grand Total</v>
      </c>
      <c r="I6" s="14">
        <f t="shared" ref="I6:I9" si="3">B6</f>
        <v>1</v>
      </c>
      <c r="J6" s="14">
        <f t="shared" ref="J6:J9" si="4">C6</f>
        <v>1</v>
      </c>
      <c r="K6" s="14">
        <f t="shared" ref="K6:K9" si="5">D6</f>
        <v>0</v>
      </c>
      <c r="L6" s="14">
        <f t="shared" ref="L6:L9" si="6">E6</f>
        <v>0</v>
      </c>
    </row>
    <row r="7" spans="1:12" x14ac:dyDescent="0.3">
      <c r="H7" s="13">
        <f t="shared" si="2"/>
        <v>0</v>
      </c>
      <c r="I7" s="14">
        <f t="shared" si="3"/>
        <v>0</v>
      </c>
      <c r="J7" s="14">
        <f t="shared" si="4"/>
        <v>0</v>
      </c>
      <c r="K7" s="14">
        <f t="shared" si="5"/>
        <v>0</v>
      </c>
      <c r="L7" s="14">
        <f t="shared" si="6"/>
        <v>0</v>
      </c>
    </row>
    <row r="8" spans="1:12" x14ac:dyDescent="0.3">
      <c r="H8" s="13">
        <f t="shared" si="2"/>
        <v>0</v>
      </c>
      <c r="I8" s="14">
        <f t="shared" si="3"/>
        <v>0</v>
      </c>
      <c r="J8" s="14">
        <f t="shared" si="4"/>
        <v>0</v>
      </c>
      <c r="K8" s="14">
        <f t="shared" si="5"/>
        <v>0</v>
      </c>
      <c r="L8" s="14">
        <f t="shared" si="6"/>
        <v>0</v>
      </c>
    </row>
    <row r="9" spans="1:12" x14ac:dyDescent="0.3">
      <c r="H9" s="13">
        <f t="shared" si="2"/>
        <v>0</v>
      </c>
      <c r="I9" s="14">
        <f t="shared" si="3"/>
        <v>0</v>
      </c>
      <c r="J9" s="14">
        <f t="shared" si="4"/>
        <v>0</v>
      </c>
      <c r="K9" s="14">
        <f t="shared" si="5"/>
        <v>0</v>
      </c>
      <c r="L9" s="14">
        <f t="shared" si="6"/>
        <v>0</v>
      </c>
    </row>
    <row r="14" spans="1:12" x14ac:dyDescent="0.3">
      <c r="G14" s="11"/>
      <c r="H14" s="12"/>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2028-CE3E-4F98-9DEA-0774CC64AB98}">
  <dimension ref="A3:B11"/>
  <sheetViews>
    <sheetView workbookViewId="0">
      <selection activeCell="A3" sqref="A3"/>
    </sheetView>
  </sheetViews>
  <sheetFormatPr defaultRowHeight="14.4" x14ac:dyDescent="0.3"/>
  <cols>
    <col min="1" max="1" width="12.44140625" bestFit="1" customWidth="1"/>
    <col min="2" max="2" width="12.21875" bestFit="1" customWidth="1"/>
  </cols>
  <sheetData>
    <row r="3" spans="1:2" x14ac:dyDescent="0.3">
      <c r="A3" s="5" t="s">
        <v>2519</v>
      </c>
      <c r="B3" t="s">
        <v>2521</v>
      </c>
    </row>
    <row r="4" spans="1:2" x14ac:dyDescent="0.3">
      <c r="A4" s="6">
        <v>1</v>
      </c>
      <c r="B4" s="7">
        <v>84</v>
      </c>
    </row>
    <row r="5" spans="1:2" x14ac:dyDescent="0.3">
      <c r="A5" s="6">
        <v>2</v>
      </c>
      <c r="B5" s="7">
        <v>93</v>
      </c>
    </row>
    <row r="6" spans="1:2" x14ac:dyDescent="0.3">
      <c r="A6" s="6">
        <v>3</v>
      </c>
      <c r="B6" s="7">
        <v>67</v>
      </c>
    </row>
    <row r="7" spans="1:2" x14ac:dyDescent="0.3">
      <c r="A7" s="6">
        <v>4</v>
      </c>
      <c r="B7" s="7">
        <v>47</v>
      </c>
    </row>
    <row r="8" spans="1:2" x14ac:dyDescent="0.3">
      <c r="A8" s="6">
        <v>5</v>
      </c>
      <c r="B8" s="7">
        <v>41</v>
      </c>
    </row>
    <row r="9" spans="1:2" x14ac:dyDescent="0.3">
      <c r="A9" s="6" t="s">
        <v>2533</v>
      </c>
      <c r="B9" s="7">
        <v>80</v>
      </c>
    </row>
    <row r="10" spans="1:2" x14ac:dyDescent="0.3">
      <c r="A10" s="6" t="s">
        <v>2534</v>
      </c>
      <c r="B10" s="7">
        <v>44</v>
      </c>
    </row>
    <row r="11" spans="1:2" x14ac:dyDescent="0.3">
      <c r="A11" s="6" t="s">
        <v>2520</v>
      </c>
      <c r="B11" s="7">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2A69-6A93-4170-8B9C-24992B6EBCD4}">
  <dimension ref="A3:K25"/>
  <sheetViews>
    <sheetView workbookViewId="0">
      <selection activeCell="J3" sqref="J3"/>
    </sheetView>
  </sheetViews>
  <sheetFormatPr defaultRowHeight="14.4" x14ac:dyDescent="0.3"/>
  <cols>
    <col min="1" max="1" width="19.109375" bestFit="1" customWidth="1"/>
    <col min="2" max="2" width="15.5546875" bestFit="1" customWidth="1"/>
    <col min="3" max="3" width="10.5546875" bestFit="1" customWidth="1"/>
    <col min="4" max="4" width="5.6640625" bestFit="1" customWidth="1"/>
    <col min="5" max="5" width="8.5546875" bestFit="1" customWidth="1"/>
    <col min="6" max="6" width="10.5546875" bestFit="1" customWidth="1"/>
    <col min="10" max="10" width="12.44140625" bestFit="1" customWidth="1"/>
    <col min="11" max="11" width="14.21875" bestFit="1" customWidth="1"/>
    <col min="12" max="12" width="5" bestFit="1" customWidth="1"/>
    <col min="13" max="13" width="5.6640625" bestFit="1" customWidth="1"/>
    <col min="14" max="14" width="8.5546875" bestFit="1" customWidth="1"/>
    <col min="15" max="15" width="10.5546875" bestFit="1" customWidth="1"/>
  </cols>
  <sheetData>
    <row r="3" spans="1:11" x14ac:dyDescent="0.3">
      <c r="A3" s="5" t="s">
        <v>2522</v>
      </c>
      <c r="B3" s="5" t="s">
        <v>2530</v>
      </c>
      <c r="J3" s="5" t="s">
        <v>2519</v>
      </c>
      <c r="K3" t="s">
        <v>2522</v>
      </c>
    </row>
    <row r="4" spans="1:11" x14ac:dyDescent="0.3">
      <c r="A4" s="5" t="s">
        <v>2519</v>
      </c>
      <c r="B4" t="s">
        <v>2531</v>
      </c>
      <c r="C4" t="s">
        <v>2520</v>
      </c>
      <c r="J4" s="6" t="s">
        <v>2531</v>
      </c>
      <c r="K4" s="7">
        <v>2240</v>
      </c>
    </row>
    <row r="5" spans="1:11" x14ac:dyDescent="0.3">
      <c r="A5" s="6" t="s">
        <v>39</v>
      </c>
      <c r="B5" s="7">
        <v>318</v>
      </c>
      <c r="C5" s="7">
        <v>318</v>
      </c>
      <c r="J5" s="6" t="s">
        <v>2520</v>
      </c>
      <c r="K5" s="7">
        <v>2240</v>
      </c>
    </row>
    <row r="6" spans="1:11" x14ac:dyDescent="0.3">
      <c r="A6" s="6" t="s">
        <v>26</v>
      </c>
      <c r="B6" s="7">
        <v>266</v>
      </c>
      <c r="C6" s="7">
        <v>266</v>
      </c>
    </row>
    <row r="7" spans="1:11" x14ac:dyDescent="0.3">
      <c r="A7" s="6" t="s">
        <v>44</v>
      </c>
      <c r="B7" s="7">
        <v>240</v>
      </c>
      <c r="C7" s="7">
        <v>240</v>
      </c>
    </row>
    <row r="8" spans="1:11" x14ac:dyDescent="0.3">
      <c r="A8" s="6" t="s">
        <v>22</v>
      </c>
      <c r="B8" s="7">
        <v>192</v>
      </c>
      <c r="C8" s="7">
        <v>192</v>
      </c>
    </row>
    <row r="9" spans="1:11" x14ac:dyDescent="0.3">
      <c r="A9" s="6" t="s">
        <v>46</v>
      </c>
      <c r="B9" s="7">
        <v>164</v>
      </c>
      <c r="C9" s="7">
        <v>164</v>
      </c>
    </row>
    <row r="10" spans="1:11" x14ac:dyDescent="0.3">
      <c r="A10" s="6" t="s">
        <v>16</v>
      </c>
      <c r="B10" s="7">
        <v>163</v>
      </c>
      <c r="C10" s="7">
        <v>163</v>
      </c>
    </row>
    <row r="11" spans="1:11" x14ac:dyDescent="0.3">
      <c r="A11" s="6" t="s">
        <v>32</v>
      </c>
      <c r="B11" s="7">
        <v>152</v>
      </c>
      <c r="C11" s="7">
        <v>152</v>
      </c>
    </row>
    <row r="12" spans="1:11" x14ac:dyDescent="0.3">
      <c r="A12" s="6" t="s">
        <v>54</v>
      </c>
      <c r="B12" s="7">
        <v>152</v>
      </c>
      <c r="C12" s="7">
        <v>152</v>
      </c>
    </row>
    <row r="13" spans="1:11" x14ac:dyDescent="0.3">
      <c r="A13" s="6" t="s">
        <v>37</v>
      </c>
      <c r="B13" s="7">
        <v>116</v>
      </c>
      <c r="C13" s="7">
        <v>116</v>
      </c>
    </row>
    <row r="14" spans="1:11" x14ac:dyDescent="0.3">
      <c r="A14" s="6" t="s">
        <v>42</v>
      </c>
      <c r="B14" s="7">
        <v>96</v>
      </c>
      <c r="C14" s="7">
        <v>96</v>
      </c>
    </row>
    <row r="15" spans="1:11" x14ac:dyDescent="0.3">
      <c r="A15" s="6" t="s">
        <v>69</v>
      </c>
      <c r="B15" s="7">
        <v>84</v>
      </c>
      <c r="C15" s="7">
        <v>84</v>
      </c>
    </row>
    <row r="16" spans="1:11" x14ac:dyDescent="0.3">
      <c r="A16" s="6" t="s">
        <v>146</v>
      </c>
      <c r="B16" s="7">
        <v>72</v>
      </c>
      <c r="C16" s="7">
        <v>72</v>
      </c>
    </row>
    <row r="17" spans="1:3" x14ac:dyDescent="0.3">
      <c r="A17" s="6" t="s">
        <v>123</v>
      </c>
      <c r="B17" s="7">
        <v>61</v>
      </c>
      <c r="C17" s="7">
        <v>61</v>
      </c>
    </row>
    <row r="18" spans="1:3" x14ac:dyDescent="0.3">
      <c r="A18" s="6" t="s">
        <v>30</v>
      </c>
      <c r="B18" s="7">
        <v>39</v>
      </c>
      <c r="C18" s="7">
        <v>39</v>
      </c>
    </row>
    <row r="19" spans="1:3" x14ac:dyDescent="0.3">
      <c r="A19" s="6" t="s">
        <v>67</v>
      </c>
      <c r="B19" s="7">
        <v>37</v>
      </c>
      <c r="C19" s="7">
        <v>37</v>
      </c>
    </row>
    <row r="20" spans="1:3" x14ac:dyDescent="0.3">
      <c r="A20" s="6" t="s">
        <v>128</v>
      </c>
      <c r="B20" s="7">
        <v>35</v>
      </c>
      <c r="C20" s="7">
        <v>35</v>
      </c>
    </row>
    <row r="21" spans="1:3" x14ac:dyDescent="0.3">
      <c r="A21" s="6" t="s">
        <v>76</v>
      </c>
      <c r="B21" s="7">
        <v>22</v>
      </c>
      <c r="C21" s="7">
        <v>22</v>
      </c>
    </row>
    <row r="22" spans="1:3" x14ac:dyDescent="0.3">
      <c r="A22" s="6" t="s">
        <v>135</v>
      </c>
      <c r="B22" s="7">
        <v>17</v>
      </c>
      <c r="C22" s="7">
        <v>17</v>
      </c>
    </row>
    <row r="23" spans="1:3" x14ac:dyDescent="0.3">
      <c r="A23" s="6" t="s">
        <v>81</v>
      </c>
      <c r="B23" s="7">
        <v>11</v>
      </c>
      <c r="C23" s="7">
        <v>11</v>
      </c>
    </row>
    <row r="24" spans="1:3" x14ac:dyDescent="0.3">
      <c r="A24" s="6" t="s">
        <v>171</v>
      </c>
      <c r="B24" s="7">
        <v>3</v>
      </c>
      <c r="C24" s="7">
        <v>3</v>
      </c>
    </row>
    <row r="25" spans="1:3" x14ac:dyDescent="0.3">
      <c r="A25" s="6" t="s">
        <v>2520</v>
      </c>
      <c r="B25" s="7">
        <v>2240</v>
      </c>
      <c r="C25" s="7">
        <v>2240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DEBF-8C81-4AEE-B769-E294D2CA63F1}">
  <dimension ref="A2:M234"/>
  <sheetViews>
    <sheetView workbookViewId="0">
      <selection activeCell="J5" sqref="J5"/>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7.5546875" bestFit="1" customWidth="1"/>
    <col min="8" max="8" width="19.6640625" bestFit="1" customWidth="1"/>
    <col min="9" max="9" width="5" bestFit="1" customWidth="1"/>
    <col min="11" max="11" width="21.109375" bestFit="1" customWidth="1"/>
    <col min="12" max="12" width="19.6640625" bestFit="1" customWidth="1"/>
    <col min="13" max="13" width="9" bestFit="1" customWidth="1"/>
  </cols>
  <sheetData>
    <row r="2" spans="1:13" x14ac:dyDescent="0.3">
      <c r="G2" t="s">
        <v>2536</v>
      </c>
    </row>
    <row r="3" spans="1:13" x14ac:dyDescent="0.3">
      <c r="A3" s="5" t="s">
        <v>10</v>
      </c>
      <c r="B3" s="5" t="s">
        <v>11</v>
      </c>
      <c r="C3" t="s">
        <v>2522</v>
      </c>
      <c r="D3" t="s">
        <v>2523</v>
      </c>
      <c r="G3" t="str">
        <f>A3</f>
        <v>State</v>
      </c>
      <c r="H3" t="str">
        <f t="shared" ref="H3:I3" si="0">B3</f>
        <v>County</v>
      </c>
      <c r="I3" t="s">
        <v>2528</v>
      </c>
      <c r="K3" t="s">
        <v>2537</v>
      </c>
    </row>
    <row r="4" spans="1:13" x14ac:dyDescent="0.3">
      <c r="A4" t="s">
        <v>19</v>
      </c>
      <c r="B4" t="s">
        <v>115</v>
      </c>
      <c r="C4" s="7">
        <v>114</v>
      </c>
      <c r="D4" s="7">
        <v>5461.8</v>
      </c>
      <c r="G4" t="str">
        <f>IF(A4="","",A4)</f>
        <v>California</v>
      </c>
      <c r="H4" t="str">
        <f t="shared" ref="H4:I19" si="1">IF(B4="","",B4)</f>
        <v>Alameda County</v>
      </c>
      <c r="I4">
        <f t="shared" si="1"/>
        <v>114</v>
      </c>
      <c r="K4" t="str">
        <f>A3</f>
        <v>State</v>
      </c>
      <c r="L4" t="str">
        <f>B3</f>
        <v>County</v>
      </c>
      <c r="M4" t="s">
        <v>4</v>
      </c>
    </row>
    <row r="5" spans="1:13" x14ac:dyDescent="0.3">
      <c r="A5" t="s">
        <v>19</v>
      </c>
      <c r="B5" t="s">
        <v>641</v>
      </c>
      <c r="C5" s="7">
        <v>2</v>
      </c>
      <c r="D5" s="7">
        <v>348.2</v>
      </c>
      <c r="G5" t="str">
        <f t="shared" ref="G5:G68" si="2">IF(A5="","",A5)</f>
        <v>California</v>
      </c>
      <c r="H5" t="str">
        <f t="shared" si="1"/>
        <v>Amador County</v>
      </c>
      <c r="I5">
        <f t="shared" si="1"/>
        <v>2</v>
      </c>
      <c r="K5" t="str">
        <f>IF(A4="","",A4)</f>
        <v>California</v>
      </c>
      <c r="L5" t="str">
        <f t="shared" ref="L5:M5" si="3">IF(B4="","",B4)</f>
        <v>Alameda County</v>
      </c>
      <c r="M5">
        <f t="shared" si="3"/>
        <v>114</v>
      </c>
    </row>
    <row r="6" spans="1:13" x14ac:dyDescent="0.3">
      <c r="A6" t="s">
        <v>19</v>
      </c>
      <c r="B6" t="s">
        <v>967</v>
      </c>
      <c r="C6" s="7">
        <v>9</v>
      </c>
      <c r="D6" s="7">
        <v>192.6</v>
      </c>
      <c r="G6" t="str">
        <f t="shared" si="2"/>
        <v>California</v>
      </c>
      <c r="H6" t="str">
        <f t="shared" si="1"/>
        <v>Butte County</v>
      </c>
      <c r="I6">
        <f t="shared" si="1"/>
        <v>9</v>
      </c>
      <c r="K6" t="str">
        <f t="shared" ref="K6:K69" si="4">IF(A5="","",A5)</f>
        <v>California</v>
      </c>
      <c r="L6" t="str">
        <f t="shared" ref="L6:L69" si="5">IF(B5="","",B5)</f>
        <v>Amador County</v>
      </c>
      <c r="M6">
        <f t="shared" ref="M6:M69" si="6">IF(C5="","",C5)</f>
        <v>2</v>
      </c>
    </row>
    <row r="7" spans="1:13" x14ac:dyDescent="0.3">
      <c r="A7" t="s">
        <v>19</v>
      </c>
      <c r="B7" t="s">
        <v>84</v>
      </c>
      <c r="C7" s="7">
        <v>5</v>
      </c>
      <c r="D7" s="7">
        <v>192.5</v>
      </c>
      <c r="G7" t="str">
        <f t="shared" si="2"/>
        <v>California</v>
      </c>
      <c r="H7" t="str">
        <f t="shared" si="1"/>
        <v>Calaveras County</v>
      </c>
      <c r="I7">
        <f t="shared" si="1"/>
        <v>5</v>
      </c>
      <c r="K7" t="str">
        <f t="shared" si="4"/>
        <v>California</v>
      </c>
      <c r="L7" t="str">
        <f t="shared" si="5"/>
        <v>Butte County</v>
      </c>
      <c r="M7">
        <f t="shared" si="6"/>
        <v>9</v>
      </c>
    </row>
    <row r="8" spans="1:13" x14ac:dyDescent="0.3">
      <c r="A8" t="s">
        <v>19</v>
      </c>
      <c r="B8" t="s">
        <v>1383</v>
      </c>
      <c r="C8" s="7">
        <v>3</v>
      </c>
      <c r="D8" s="7">
        <v>127.19999999999999</v>
      </c>
      <c r="G8" t="str">
        <f t="shared" si="2"/>
        <v>California</v>
      </c>
      <c r="H8" t="str">
        <f t="shared" si="1"/>
        <v>Colusa County</v>
      </c>
      <c r="I8">
        <f t="shared" si="1"/>
        <v>3</v>
      </c>
      <c r="K8" t="str">
        <f t="shared" si="4"/>
        <v>California</v>
      </c>
      <c r="L8" t="str">
        <f t="shared" si="5"/>
        <v>Calaveras County</v>
      </c>
      <c r="M8">
        <f t="shared" si="6"/>
        <v>5</v>
      </c>
    </row>
    <row r="9" spans="1:13" x14ac:dyDescent="0.3">
      <c r="A9" t="s">
        <v>19</v>
      </c>
      <c r="B9" t="s">
        <v>24</v>
      </c>
      <c r="C9" s="7">
        <v>41</v>
      </c>
      <c r="D9" s="7">
        <v>1868.9</v>
      </c>
      <c r="G9" t="str">
        <f t="shared" si="2"/>
        <v>California</v>
      </c>
      <c r="H9" t="str">
        <f t="shared" si="1"/>
        <v>Contra Costa County</v>
      </c>
      <c r="I9">
        <f t="shared" si="1"/>
        <v>41</v>
      </c>
      <c r="K9" t="str">
        <f t="shared" si="4"/>
        <v>California</v>
      </c>
      <c r="L9" t="str">
        <f t="shared" si="5"/>
        <v>Colusa County</v>
      </c>
      <c r="M9">
        <f t="shared" si="6"/>
        <v>3</v>
      </c>
    </row>
    <row r="10" spans="1:13" x14ac:dyDescent="0.3">
      <c r="A10" t="s">
        <v>19</v>
      </c>
      <c r="B10" t="s">
        <v>437</v>
      </c>
      <c r="C10" s="7">
        <v>22</v>
      </c>
      <c r="D10" s="7">
        <v>1253.8000000000002</v>
      </c>
      <c r="G10" t="str">
        <f t="shared" si="2"/>
        <v>California</v>
      </c>
      <c r="H10" t="str">
        <f t="shared" si="1"/>
        <v>El Dorado County</v>
      </c>
      <c r="I10">
        <f t="shared" si="1"/>
        <v>22</v>
      </c>
      <c r="K10" t="str">
        <f t="shared" si="4"/>
        <v>California</v>
      </c>
      <c r="L10" t="str">
        <f t="shared" si="5"/>
        <v>Contra Costa County</v>
      </c>
      <c r="M10">
        <f t="shared" si="6"/>
        <v>41</v>
      </c>
    </row>
    <row r="11" spans="1:13" x14ac:dyDescent="0.3">
      <c r="A11" t="s">
        <v>19</v>
      </c>
      <c r="B11" t="s">
        <v>28</v>
      </c>
      <c r="C11" s="7">
        <v>60</v>
      </c>
      <c r="D11" s="7">
        <v>3219.3999999999996</v>
      </c>
      <c r="G11" t="str">
        <f t="shared" si="2"/>
        <v>California</v>
      </c>
      <c r="H11" t="str">
        <f t="shared" si="1"/>
        <v>Fresno County</v>
      </c>
      <c r="I11">
        <f t="shared" si="1"/>
        <v>60</v>
      </c>
      <c r="K11" t="str">
        <f t="shared" si="4"/>
        <v>California</v>
      </c>
      <c r="L11" t="str">
        <f t="shared" si="5"/>
        <v>El Dorado County</v>
      </c>
      <c r="M11">
        <f t="shared" si="6"/>
        <v>22</v>
      </c>
    </row>
    <row r="12" spans="1:13" x14ac:dyDescent="0.3">
      <c r="A12" t="s">
        <v>19</v>
      </c>
      <c r="B12" t="s">
        <v>587</v>
      </c>
      <c r="C12" s="7">
        <v>17</v>
      </c>
      <c r="D12" s="7">
        <v>381.9</v>
      </c>
      <c r="G12" t="str">
        <f t="shared" si="2"/>
        <v>California</v>
      </c>
      <c r="H12" t="str">
        <f t="shared" si="1"/>
        <v>Humboldt County</v>
      </c>
      <c r="I12">
        <f t="shared" si="1"/>
        <v>17</v>
      </c>
      <c r="K12" t="str">
        <f t="shared" si="4"/>
        <v>California</v>
      </c>
      <c r="L12" t="str">
        <f t="shared" si="5"/>
        <v>Fresno County</v>
      </c>
      <c r="M12">
        <f t="shared" si="6"/>
        <v>60</v>
      </c>
    </row>
    <row r="13" spans="1:13" x14ac:dyDescent="0.3">
      <c r="A13" t="s">
        <v>19</v>
      </c>
      <c r="B13" t="s">
        <v>331</v>
      </c>
      <c r="C13" s="7">
        <v>22</v>
      </c>
      <c r="D13" s="7">
        <v>1218.5999999999999</v>
      </c>
      <c r="G13" t="str">
        <f t="shared" si="2"/>
        <v>California</v>
      </c>
      <c r="H13" t="str">
        <f t="shared" si="1"/>
        <v>Imperial County</v>
      </c>
      <c r="I13">
        <f t="shared" si="1"/>
        <v>22</v>
      </c>
      <c r="K13" t="str">
        <f t="shared" si="4"/>
        <v>California</v>
      </c>
      <c r="L13" t="str">
        <f t="shared" si="5"/>
        <v>Humboldt County</v>
      </c>
      <c r="M13">
        <f t="shared" si="6"/>
        <v>17</v>
      </c>
    </row>
    <row r="14" spans="1:13" x14ac:dyDescent="0.3">
      <c r="A14" t="s">
        <v>19</v>
      </c>
      <c r="B14" t="s">
        <v>147</v>
      </c>
      <c r="C14" s="7">
        <v>21</v>
      </c>
      <c r="D14" s="7">
        <v>1386</v>
      </c>
      <c r="G14" t="str">
        <f t="shared" si="2"/>
        <v>California</v>
      </c>
      <c r="H14" t="str">
        <f t="shared" si="1"/>
        <v>Kern County</v>
      </c>
      <c r="I14">
        <f t="shared" si="1"/>
        <v>21</v>
      </c>
      <c r="K14" t="str">
        <f t="shared" si="4"/>
        <v>California</v>
      </c>
      <c r="L14" t="str">
        <f t="shared" si="5"/>
        <v>Imperial County</v>
      </c>
      <c r="M14">
        <f t="shared" si="6"/>
        <v>22</v>
      </c>
    </row>
    <row r="15" spans="1:13" x14ac:dyDescent="0.3">
      <c r="A15" t="s">
        <v>19</v>
      </c>
      <c r="B15" t="s">
        <v>334</v>
      </c>
      <c r="C15" s="7">
        <v>6</v>
      </c>
      <c r="D15" s="7">
        <v>208.4</v>
      </c>
      <c r="G15" t="str">
        <f t="shared" si="2"/>
        <v>California</v>
      </c>
      <c r="H15" t="str">
        <f t="shared" si="1"/>
        <v>Kings County</v>
      </c>
      <c r="I15">
        <f t="shared" si="1"/>
        <v>6</v>
      </c>
      <c r="K15" t="str">
        <f t="shared" si="4"/>
        <v>California</v>
      </c>
      <c r="L15" t="str">
        <f t="shared" si="5"/>
        <v>Kern County</v>
      </c>
      <c r="M15">
        <f t="shared" si="6"/>
        <v>21</v>
      </c>
    </row>
    <row r="16" spans="1:13" x14ac:dyDescent="0.3">
      <c r="A16" t="s">
        <v>19</v>
      </c>
      <c r="B16" t="s">
        <v>949</v>
      </c>
      <c r="C16" s="7">
        <v>5</v>
      </c>
      <c r="D16" s="7">
        <v>539.5</v>
      </c>
      <c r="G16" t="str">
        <f t="shared" si="2"/>
        <v>California</v>
      </c>
      <c r="H16" t="str">
        <f t="shared" si="1"/>
        <v>Lake County</v>
      </c>
      <c r="I16">
        <f t="shared" si="1"/>
        <v>5</v>
      </c>
      <c r="K16" t="str">
        <f t="shared" si="4"/>
        <v>California</v>
      </c>
      <c r="L16" t="str">
        <f t="shared" si="5"/>
        <v>Kings County</v>
      </c>
      <c r="M16">
        <f t="shared" si="6"/>
        <v>6</v>
      </c>
    </row>
    <row r="17" spans="1:13" x14ac:dyDescent="0.3">
      <c r="A17" t="s">
        <v>19</v>
      </c>
      <c r="B17" t="s">
        <v>33</v>
      </c>
      <c r="C17" s="7">
        <v>677</v>
      </c>
      <c r="D17" s="7">
        <v>36912.799999999996</v>
      </c>
      <c r="G17" t="str">
        <f t="shared" si="2"/>
        <v>California</v>
      </c>
      <c r="H17" t="str">
        <f t="shared" si="1"/>
        <v>Los Angeles County</v>
      </c>
      <c r="I17">
        <f t="shared" si="1"/>
        <v>677</v>
      </c>
      <c r="K17" t="str">
        <f t="shared" si="4"/>
        <v>California</v>
      </c>
      <c r="L17" t="str">
        <f t="shared" si="5"/>
        <v>Lake County</v>
      </c>
      <c r="M17">
        <f t="shared" si="6"/>
        <v>5</v>
      </c>
    </row>
    <row r="18" spans="1:13" x14ac:dyDescent="0.3">
      <c r="A18" t="s">
        <v>19</v>
      </c>
      <c r="B18" t="s">
        <v>364</v>
      </c>
      <c r="C18" s="7">
        <v>4</v>
      </c>
      <c r="D18" s="7">
        <v>333.6</v>
      </c>
      <c r="G18" t="str">
        <f t="shared" si="2"/>
        <v>California</v>
      </c>
      <c r="H18" t="str">
        <f t="shared" si="1"/>
        <v>Madera County</v>
      </c>
      <c r="I18">
        <f t="shared" si="1"/>
        <v>4</v>
      </c>
      <c r="K18" t="str">
        <f t="shared" si="4"/>
        <v>California</v>
      </c>
      <c r="L18" t="str">
        <f t="shared" si="5"/>
        <v>Los Angeles County</v>
      </c>
      <c r="M18">
        <f t="shared" si="6"/>
        <v>677</v>
      </c>
    </row>
    <row r="19" spans="1:13" x14ac:dyDescent="0.3">
      <c r="A19" t="s">
        <v>19</v>
      </c>
      <c r="B19" t="s">
        <v>416</v>
      </c>
      <c r="C19" s="7">
        <v>6</v>
      </c>
      <c r="D19" s="7">
        <v>445.79999999999995</v>
      </c>
      <c r="G19" t="str">
        <f t="shared" si="2"/>
        <v>California</v>
      </c>
      <c r="H19" t="str">
        <f t="shared" si="1"/>
        <v>Mariposa County</v>
      </c>
      <c r="I19">
        <f t="shared" si="1"/>
        <v>6</v>
      </c>
      <c r="K19" t="str">
        <f t="shared" si="4"/>
        <v>California</v>
      </c>
      <c r="L19" t="str">
        <f t="shared" si="5"/>
        <v>Madera County</v>
      </c>
      <c r="M19">
        <f t="shared" si="6"/>
        <v>4</v>
      </c>
    </row>
    <row r="20" spans="1:13" x14ac:dyDescent="0.3">
      <c r="A20" t="s">
        <v>19</v>
      </c>
      <c r="B20" t="s">
        <v>258</v>
      </c>
      <c r="C20" s="7">
        <v>3</v>
      </c>
      <c r="D20" s="7">
        <v>172.2</v>
      </c>
      <c r="G20" t="str">
        <f t="shared" si="2"/>
        <v>California</v>
      </c>
      <c r="H20" t="str">
        <f t="shared" ref="H20:H83" si="7">IF(B20="","",B20)</f>
        <v>Mendocino County</v>
      </c>
      <c r="I20">
        <f t="shared" ref="I20:I83" si="8">IF(C20="","",C20)</f>
        <v>3</v>
      </c>
      <c r="K20" t="str">
        <f t="shared" si="4"/>
        <v>California</v>
      </c>
      <c r="L20" t="str">
        <f t="shared" si="5"/>
        <v>Mariposa County</v>
      </c>
      <c r="M20">
        <f t="shared" si="6"/>
        <v>6</v>
      </c>
    </row>
    <row r="21" spans="1:13" x14ac:dyDescent="0.3">
      <c r="A21" t="s">
        <v>19</v>
      </c>
      <c r="B21" t="s">
        <v>186</v>
      </c>
      <c r="C21" s="7">
        <v>3</v>
      </c>
      <c r="D21" s="7">
        <v>147.30000000000001</v>
      </c>
      <c r="G21" t="str">
        <f t="shared" si="2"/>
        <v>California</v>
      </c>
      <c r="H21" t="str">
        <f t="shared" si="7"/>
        <v>Merced County</v>
      </c>
      <c r="I21">
        <f t="shared" si="8"/>
        <v>3</v>
      </c>
      <c r="K21" t="str">
        <f t="shared" si="4"/>
        <v>California</v>
      </c>
      <c r="L21" t="str">
        <f t="shared" si="5"/>
        <v>Mendocino County</v>
      </c>
      <c r="M21">
        <f t="shared" si="6"/>
        <v>3</v>
      </c>
    </row>
    <row r="22" spans="1:13" x14ac:dyDescent="0.3">
      <c r="A22" t="s">
        <v>19</v>
      </c>
      <c r="B22" t="s">
        <v>98</v>
      </c>
      <c r="C22" s="7">
        <v>29</v>
      </c>
      <c r="D22" s="7">
        <v>1623.5</v>
      </c>
      <c r="G22" t="str">
        <f t="shared" si="2"/>
        <v>California</v>
      </c>
      <c r="H22" t="str">
        <f t="shared" si="7"/>
        <v>Napa County</v>
      </c>
      <c r="I22">
        <f t="shared" si="8"/>
        <v>29</v>
      </c>
      <c r="K22" t="str">
        <f t="shared" si="4"/>
        <v>California</v>
      </c>
      <c r="L22" t="str">
        <f t="shared" si="5"/>
        <v>Merced County</v>
      </c>
      <c r="M22">
        <f t="shared" si="6"/>
        <v>3</v>
      </c>
    </row>
    <row r="23" spans="1:13" x14ac:dyDescent="0.3">
      <c r="A23" t="s">
        <v>19</v>
      </c>
      <c r="B23" t="s">
        <v>49</v>
      </c>
      <c r="C23" s="7">
        <v>6</v>
      </c>
      <c r="D23" s="7">
        <v>305.39999999999998</v>
      </c>
      <c r="G23" t="str">
        <f t="shared" si="2"/>
        <v>California</v>
      </c>
      <c r="H23" t="str">
        <f t="shared" si="7"/>
        <v>Nevada County</v>
      </c>
      <c r="I23">
        <f t="shared" si="8"/>
        <v>6</v>
      </c>
      <c r="K23" t="str">
        <f t="shared" si="4"/>
        <v>California</v>
      </c>
      <c r="L23" t="str">
        <f t="shared" si="5"/>
        <v>Napa County</v>
      </c>
      <c r="M23">
        <f t="shared" si="6"/>
        <v>29</v>
      </c>
    </row>
    <row r="24" spans="1:13" x14ac:dyDescent="0.3">
      <c r="A24" t="s">
        <v>19</v>
      </c>
      <c r="B24" t="s">
        <v>188</v>
      </c>
      <c r="C24" s="7">
        <v>11</v>
      </c>
      <c r="D24" s="7">
        <v>531.9</v>
      </c>
      <c r="G24" t="str">
        <f t="shared" si="2"/>
        <v>California</v>
      </c>
      <c r="H24" t="str">
        <f t="shared" si="7"/>
        <v>Orange County</v>
      </c>
      <c r="I24">
        <f t="shared" si="8"/>
        <v>11</v>
      </c>
      <c r="K24" t="str">
        <f t="shared" si="4"/>
        <v>California</v>
      </c>
      <c r="L24" t="str">
        <f t="shared" si="5"/>
        <v>Nevada County</v>
      </c>
      <c r="M24">
        <f t="shared" si="6"/>
        <v>6</v>
      </c>
    </row>
    <row r="25" spans="1:13" x14ac:dyDescent="0.3">
      <c r="A25" t="s">
        <v>19</v>
      </c>
      <c r="B25" t="s">
        <v>52</v>
      </c>
      <c r="C25" s="7">
        <v>12</v>
      </c>
      <c r="D25" s="7">
        <v>1173.9000000000001</v>
      </c>
      <c r="G25" t="str">
        <f t="shared" si="2"/>
        <v>California</v>
      </c>
      <c r="H25" t="str">
        <f t="shared" si="7"/>
        <v>Placer County</v>
      </c>
      <c r="I25">
        <f t="shared" si="8"/>
        <v>12</v>
      </c>
      <c r="K25" t="str">
        <f t="shared" si="4"/>
        <v>California</v>
      </c>
      <c r="L25" t="str">
        <f t="shared" si="5"/>
        <v>Orange County</v>
      </c>
      <c r="M25">
        <f t="shared" si="6"/>
        <v>11</v>
      </c>
    </row>
    <row r="26" spans="1:13" x14ac:dyDescent="0.3">
      <c r="A26" t="s">
        <v>19</v>
      </c>
      <c r="B26" t="s">
        <v>338</v>
      </c>
      <c r="C26" s="7">
        <v>1</v>
      </c>
      <c r="D26" s="7">
        <v>92.6</v>
      </c>
      <c r="G26" t="str">
        <f t="shared" si="2"/>
        <v>California</v>
      </c>
      <c r="H26" t="str">
        <f t="shared" si="7"/>
        <v>Plumas County</v>
      </c>
      <c r="I26">
        <f t="shared" si="8"/>
        <v>1</v>
      </c>
      <c r="K26" t="str">
        <f t="shared" si="4"/>
        <v>California</v>
      </c>
      <c r="L26" t="str">
        <f t="shared" si="5"/>
        <v>Placer County</v>
      </c>
      <c r="M26">
        <f t="shared" si="6"/>
        <v>12</v>
      </c>
    </row>
    <row r="27" spans="1:13" x14ac:dyDescent="0.3">
      <c r="A27" t="s">
        <v>19</v>
      </c>
      <c r="B27" t="s">
        <v>158</v>
      </c>
      <c r="C27" s="7">
        <v>85</v>
      </c>
      <c r="D27" s="7">
        <v>4460</v>
      </c>
      <c r="G27" t="str">
        <f t="shared" si="2"/>
        <v>California</v>
      </c>
      <c r="H27" t="str">
        <f t="shared" si="7"/>
        <v>Riverside County</v>
      </c>
      <c r="I27">
        <f t="shared" si="8"/>
        <v>85</v>
      </c>
      <c r="K27" t="str">
        <f t="shared" si="4"/>
        <v>California</v>
      </c>
      <c r="L27" t="str">
        <f t="shared" si="5"/>
        <v>Plumas County</v>
      </c>
      <c r="M27">
        <f t="shared" si="6"/>
        <v>1</v>
      </c>
    </row>
    <row r="28" spans="1:13" x14ac:dyDescent="0.3">
      <c r="A28" t="s">
        <v>19</v>
      </c>
      <c r="B28" t="s">
        <v>55</v>
      </c>
      <c r="C28" s="7">
        <v>189</v>
      </c>
      <c r="D28" s="7">
        <v>10424.000000000002</v>
      </c>
      <c r="G28" t="str">
        <f t="shared" si="2"/>
        <v>California</v>
      </c>
      <c r="H28" t="str">
        <f t="shared" si="7"/>
        <v>Sacramento County</v>
      </c>
      <c r="I28">
        <f t="shared" si="8"/>
        <v>189</v>
      </c>
      <c r="K28" t="str">
        <f t="shared" si="4"/>
        <v>California</v>
      </c>
      <c r="L28" t="str">
        <f t="shared" si="5"/>
        <v>Riverside County</v>
      </c>
      <c r="M28">
        <f t="shared" si="6"/>
        <v>85</v>
      </c>
    </row>
    <row r="29" spans="1:13" x14ac:dyDescent="0.3">
      <c r="A29" t="s">
        <v>19</v>
      </c>
      <c r="B29" t="s">
        <v>342</v>
      </c>
      <c r="C29" s="7">
        <v>5</v>
      </c>
      <c r="D29" s="7">
        <v>161</v>
      </c>
      <c r="G29" t="str">
        <f t="shared" si="2"/>
        <v>California</v>
      </c>
      <c r="H29" t="str">
        <f t="shared" si="7"/>
        <v>San Benito County</v>
      </c>
      <c r="I29">
        <f t="shared" si="8"/>
        <v>5</v>
      </c>
      <c r="K29" t="str">
        <f t="shared" si="4"/>
        <v>California</v>
      </c>
      <c r="L29" t="str">
        <f t="shared" si="5"/>
        <v>Sacramento County</v>
      </c>
      <c r="M29">
        <f t="shared" si="6"/>
        <v>189</v>
      </c>
    </row>
    <row r="30" spans="1:13" x14ac:dyDescent="0.3">
      <c r="A30" t="s">
        <v>19</v>
      </c>
      <c r="B30" t="s">
        <v>59</v>
      </c>
      <c r="C30" s="7">
        <v>68</v>
      </c>
      <c r="D30" s="7">
        <v>2939.3</v>
      </c>
      <c r="G30" t="str">
        <f t="shared" si="2"/>
        <v>California</v>
      </c>
      <c r="H30" t="str">
        <f t="shared" si="7"/>
        <v>San Bernardino County</v>
      </c>
      <c r="I30">
        <f t="shared" si="8"/>
        <v>68</v>
      </c>
      <c r="K30" t="str">
        <f t="shared" si="4"/>
        <v>California</v>
      </c>
      <c r="L30" t="str">
        <f t="shared" si="5"/>
        <v>San Benito County</v>
      </c>
      <c r="M30">
        <f t="shared" si="6"/>
        <v>5</v>
      </c>
    </row>
    <row r="31" spans="1:13" x14ac:dyDescent="0.3">
      <c r="A31" t="s">
        <v>19</v>
      </c>
      <c r="B31" t="s">
        <v>62</v>
      </c>
      <c r="C31" s="7">
        <v>350</v>
      </c>
      <c r="D31" s="7">
        <v>17692.899999999994</v>
      </c>
      <c r="G31" t="str">
        <f t="shared" si="2"/>
        <v>California</v>
      </c>
      <c r="H31" t="str">
        <f t="shared" si="7"/>
        <v>San Diego County</v>
      </c>
      <c r="I31">
        <f t="shared" si="8"/>
        <v>350</v>
      </c>
      <c r="K31" t="str">
        <f t="shared" si="4"/>
        <v>California</v>
      </c>
      <c r="L31" t="str">
        <f t="shared" si="5"/>
        <v>San Bernardino County</v>
      </c>
      <c r="M31">
        <f t="shared" si="6"/>
        <v>68</v>
      </c>
    </row>
    <row r="32" spans="1:13" x14ac:dyDescent="0.3">
      <c r="A32" t="s">
        <v>19</v>
      </c>
      <c r="B32" t="s">
        <v>103</v>
      </c>
      <c r="C32" s="7">
        <v>45</v>
      </c>
      <c r="D32" s="7">
        <v>3225.1</v>
      </c>
      <c r="G32" t="str">
        <f t="shared" si="2"/>
        <v>California</v>
      </c>
      <c r="H32" t="str">
        <f t="shared" si="7"/>
        <v>San Francisco</v>
      </c>
      <c r="I32">
        <f t="shared" si="8"/>
        <v>45</v>
      </c>
      <c r="K32" t="str">
        <f t="shared" si="4"/>
        <v>California</v>
      </c>
      <c r="L32" t="str">
        <f t="shared" si="5"/>
        <v>San Diego County</v>
      </c>
      <c r="M32">
        <f t="shared" si="6"/>
        <v>350</v>
      </c>
    </row>
    <row r="33" spans="1:13" x14ac:dyDescent="0.3">
      <c r="A33" t="s">
        <v>19</v>
      </c>
      <c r="B33" t="s">
        <v>201</v>
      </c>
      <c r="C33" s="7">
        <v>4</v>
      </c>
      <c r="D33" s="7">
        <v>205.6</v>
      </c>
      <c r="G33" t="str">
        <f t="shared" si="2"/>
        <v>California</v>
      </c>
      <c r="H33" t="str">
        <f t="shared" si="7"/>
        <v>San Joaquin County</v>
      </c>
      <c r="I33">
        <f t="shared" si="8"/>
        <v>4</v>
      </c>
      <c r="K33" t="str">
        <f t="shared" si="4"/>
        <v>California</v>
      </c>
      <c r="L33" t="str">
        <f t="shared" si="5"/>
        <v>San Francisco</v>
      </c>
      <c r="M33">
        <f t="shared" si="6"/>
        <v>45</v>
      </c>
    </row>
    <row r="34" spans="1:13" x14ac:dyDescent="0.3">
      <c r="A34" t="s">
        <v>19</v>
      </c>
      <c r="B34" t="s">
        <v>429</v>
      </c>
      <c r="C34" s="7">
        <v>6</v>
      </c>
      <c r="D34" s="7">
        <v>290.60000000000002</v>
      </c>
      <c r="G34" t="str">
        <f t="shared" si="2"/>
        <v>California</v>
      </c>
      <c r="H34" t="str">
        <f t="shared" si="7"/>
        <v>San Luis Obispo County</v>
      </c>
      <c r="I34">
        <f t="shared" si="8"/>
        <v>6</v>
      </c>
      <c r="K34" t="str">
        <f t="shared" si="4"/>
        <v>California</v>
      </c>
      <c r="L34" t="str">
        <f t="shared" si="5"/>
        <v>San Joaquin County</v>
      </c>
      <c r="M34">
        <f t="shared" si="6"/>
        <v>4</v>
      </c>
    </row>
    <row r="35" spans="1:13" x14ac:dyDescent="0.3">
      <c r="A35" t="s">
        <v>19</v>
      </c>
      <c r="B35" t="s">
        <v>72</v>
      </c>
      <c r="C35" s="7">
        <v>113</v>
      </c>
      <c r="D35" s="7">
        <v>5274.6</v>
      </c>
      <c r="G35" t="str">
        <f t="shared" si="2"/>
        <v>California</v>
      </c>
      <c r="H35" t="str">
        <f t="shared" si="7"/>
        <v>San Mateo County</v>
      </c>
      <c r="I35">
        <f t="shared" si="8"/>
        <v>113</v>
      </c>
      <c r="K35" t="str">
        <f t="shared" si="4"/>
        <v>California</v>
      </c>
      <c r="L35" t="str">
        <f t="shared" si="5"/>
        <v>San Luis Obispo County</v>
      </c>
      <c r="M35">
        <f t="shared" si="6"/>
        <v>6</v>
      </c>
    </row>
    <row r="36" spans="1:13" x14ac:dyDescent="0.3">
      <c r="A36" t="s">
        <v>19</v>
      </c>
      <c r="B36" t="s">
        <v>74</v>
      </c>
      <c r="C36" s="7">
        <v>2</v>
      </c>
      <c r="D36" s="7">
        <v>90</v>
      </c>
      <c r="G36" t="str">
        <f t="shared" si="2"/>
        <v>California</v>
      </c>
      <c r="H36" t="str">
        <f t="shared" si="7"/>
        <v>Santa Barbara County</v>
      </c>
      <c r="I36">
        <f t="shared" si="8"/>
        <v>2</v>
      </c>
      <c r="K36" t="str">
        <f t="shared" si="4"/>
        <v>California</v>
      </c>
      <c r="L36" t="str">
        <f t="shared" si="5"/>
        <v>San Mateo County</v>
      </c>
      <c r="M36">
        <f t="shared" si="6"/>
        <v>113</v>
      </c>
    </row>
    <row r="37" spans="1:13" x14ac:dyDescent="0.3">
      <c r="A37" t="s">
        <v>19</v>
      </c>
      <c r="B37" t="s">
        <v>77</v>
      </c>
      <c r="C37" s="7">
        <v>133</v>
      </c>
      <c r="D37" s="7">
        <v>8226.7000000000007</v>
      </c>
      <c r="G37" t="str">
        <f t="shared" si="2"/>
        <v>California</v>
      </c>
      <c r="H37" t="str">
        <f t="shared" si="7"/>
        <v>Santa Clara County</v>
      </c>
      <c r="I37">
        <f t="shared" si="8"/>
        <v>133</v>
      </c>
      <c r="K37" t="str">
        <f t="shared" si="4"/>
        <v>California</v>
      </c>
      <c r="L37" t="str">
        <f t="shared" si="5"/>
        <v>Santa Barbara County</v>
      </c>
      <c r="M37">
        <f t="shared" si="6"/>
        <v>2</v>
      </c>
    </row>
    <row r="38" spans="1:13" x14ac:dyDescent="0.3">
      <c r="A38" t="s">
        <v>19</v>
      </c>
      <c r="B38" t="s">
        <v>309</v>
      </c>
      <c r="C38" s="7">
        <v>8</v>
      </c>
      <c r="D38" s="7">
        <v>261.60000000000002</v>
      </c>
      <c r="G38" t="str">
        <f t="shared" si="2"/>
        <v>California</v>
      </c>
      <c r="H38" t="str">
        <f t="shared" si="7"/>
        <v>Santa Cruz County</v>
      </c>
      <c r="I38">
        <f t="shared" si="8"/>
        <v>8</v>
      </c>
      <c r="K38" t="str">
        <f t="shared" si="4"/>
        <v>California</v>
      </c>
      <c r="L38" t="str">
        <f t="shared" si="5"/>
        <v>Santa Clara County</v>
      </c>
      <c r="M38">
        <f t="shared" si="6"/>
        <v>133</v>
      </c>
    </row>
    <row r="39" spans="1:13" x14ac:dyDescent="0.3">
      <c r="A39" t="s">
        <v>19</v>
      </c>
      <c r="B39" t="s">
        <v>268</v>
      </c>
      <c r="C39" s="7">
        <v>2</v>
      </c>
      <c r="D39" s="7">
        <v>58.8</v>
      </c>
      <c r="G39" t="str">
        <f t="shared" si="2"/>
        <v>California</v>
      </c>
      <c r="H39" t="str">
        <f t="shared" si="7"/>
        <v>Siskiyou County</v>
      </c>
      <c r="I39">
        <f t="shared" si="8"/>
        <v>2</v>
      </c>
      <c r="K39" t="str">
        <f t="shared" si="4"/>
        <v>California</v>
      </c>
      <c r="L39" t="str">
        <f t="shared" si="5"/>
        <v>Santa Cruz County</v>
      </c>
      <c r="M39">
        <f t="shared" si="6"/>
        <v>8</v>
      </c>
    </row>
    <row r="40" spans="1:13" x14ac:dyDescent="0.3">
      <c r="A40" t="s">
        <v>19</v>
      </c>
      <c r="B40" t="s">
        <v>108</v>
      </c>
      <c r="C40" s="7">
        <v>53</v>
      </c>
      <c r="D40" s="7">
        <v>6213.7</v>
      </c>
      <c r="G40" t="str">
        <f t="shared" si="2"/>
        <v>California</v>
      </c>
      <c r="H40" t="str">
        <f t="shared" si="7"/>
        <v>Sonoma County</v>
      </c>
      <c r="I40">
        <f t="shared" si="8"/>
        <v>53</v>
      </c>
      <c r="K40" t="str">
        <f t="shared" si="4"/>
        <v>California</v>
      </c>
      <c r="L40" t="str">
        <f t="shared" si="5"/>
        <v>Siskiyou County</v>
      </c>
      <c r="M40">
        <f t="shared" si="6"/>
        <v>2</v>
      </c>
    </row>
    <row r="41" spans="1:13" x14ac:dyDescent="0.3">
      <c r="A41" t="s">
        <v>19</v>
      </c>
      <c r="B41" t="s">
        <v>110</v>
      </c>
      <c r="C41" s="7">
        <v>31</v>
      </c>
      <c r="D41" s="7">
        <v>1864.8999999999999</v>
      </c>
      <c r="G41" t="str">
        <f t="shared" si="2"/>
        <v>California</v>
      </c>
      <c r="H41" t="str">
        <f t="shared" si="7"/>
        <v>Stanislaus County</v>
      </c>
      <c r="I41">
        <f t="shared" si="8"/>
        <v>31</v>
      </c>
      <c r="K41" t="str">
        <f t="shared" si="4"/>
        <v>California</v>
      </c>
      <c r="L41" t="str">
        <f t="shared" si="5"/>
        <v>Sonoma County</v>
      </c>
      <c r="M41">
        <f t="shared" si="6"/>
        <v>53</v>
      </c>
    </row>
    <row r="42" spans="1:13" x14ac:dyDescent="0.3">
      <c r="A42" t="s">
        <v>19</v>
      </c>
      <c r="B42" t="s">
        <v>292</v>
      </c>
      <c r="C42" s="7">
        <v>3</v>
      </c>
      <c r="D42" s="7">
        <v>138.60000000000002</v>
      </c>
      <c r="G42" t="str">
        <f t="shared" si="2"/>
        <v>California</v>
      </c>
      <c r="H42" t="str">
        <f t="shared" si="7"/>
        <v>Sutter County</v>
      </c>
      <c r="I42">
        <f t="shared" si="8"/>
        <v>3</v>
      </c>
      <c r="K42" t="str">
        <f t="shared" si="4"/>
        <v>California</v>
      </c>
      <c r="L42" t="str">
        <f t="shared" si="5"/>
        <v>Stanislaus County</v>
      </c>
      <c r="M42">
        <f t="shared" si="6"/>
        <v>31</v>
      </c>
    </row>
    <row r="43" spans="1:13" x14ac:dyDescent="0.3">
      <c r="A43" t="s">
        <v>19</v>
      </c>
      <c r="B43" t="s">
        <v>113</v>
      </c>
      <c r="C43" s="7">
        <v>9</v>
      </c>
      <c r="D43" s="7">
        <v>327</v>
      </c>
      <c r="G43" t="str">
        <f t="shared" si="2"/>
        <v>California</v>
      </c>
      <c r="H43" t="str">
        <f t="shared" si="7"/>
        <v>Tulare County</v>
      </c>
      <c r="I43">
        <f t="shared" si="8"/>
        <v>9</v>
      </c>
      <c r="K43" t="str">
        <f t="shared" si="4"/>
        <v>California</v>
      </c>
      <c r="L43" t="str">
        <f t="shared" si="5"/>
        <v>Sutter County</v>
      </c>
      <c r="M43">
        <f t="shared" si="6"/>
        <v>3</v>
      </c>
    </row>
    <row r="44" spans="1:13" x14ac:dyDescent="0.3">
      <c r="A44" t="s">
        <v>19</v>
      </c>
      <c r="B44" t="s">
        <v>997</v>
      </c>
      <c r="C44" s="7">
        <v>16</v>
      </c>
      <c r="D44" s="7">
        <v>515.79999999999995</v>
      </c>
      <c r="G44" t="str">
        <f t="shared" si="2"/>
        <v>California</v>
      </c>
      <c r="H44" t="str">
        <f t="shared" si="7"/>
        <v>Tuolumne County</v>
      </c>
      <c r="I44">
        <f t="shared" si="8"/>
        <v>16</v>
      </c>
      <c r="K44" t="str">
        <f t="shared" si="4"/>
        <v>California</v>
      </c>
      <c r="L44" t="str">
        <f t="shared" si="5"/>
        <v>Tulare County</v>
      </c>
      <c r="M44">
        <f t="shared" si="6"/>
        <v>9</v>
      </c>
    </row>
    <row r="45" spans="1:13" x14ac:dyDescent="0.3">
      <c r="A45" t="s">
        <v>19</v>
      </c>
      <c r="B45" t="s">
        <v>82</v>
      </c>
      <c r="C45" s="7">
        <v>39</v>
      </c>
      <c r="D45" s="7">
        <v>2558</v>
      </c>
      <c r="G45" t="str">
        <f t="shared" si="2"/>
        <v>California</v>
      </c>
      <c r="H45" t="str">
        <f t="shared" si="7"/>
        <v>Ventura County</v>
      </c>
      <c r="I45">
        <f t="shared" si="8"/>
        <v>39</v>
      </c>
      <c r="K45" t="str">
        <f t="shared" si="4"/>
        <v>California</v>
      </c>
      <c r="L45" t="str">
        <f t="shared" si="5"/>
        <v>Tuolumne County</v>
      </c>
      <c r="M45">
        <f t="shared" si="6"/>
        <v>16</v>
      </c>
    </row>
    <row r="46" spans="1:13" x14ac:dyDescent="0.3">
      <c r="A46" t="s">
        <v>2535</v>
      </c>
      <c r="C46" s="7">
        <v>2240</v>
      </c>
      <c r="D46" s="7">
        <v>123066.00000000003</v>
      </c>
      <c r="G46" t="str">
        <f t="shared" si="2"/>
        <v>California Total</v>
      </c>
      <c r="H46" t="str">
        <f t="shared" si="7"/>
        <v/>
      </c>
      <c r="I46">
        <f t="shared" si="8"/>
        <v>2240</v>
      </c>
      <c r="K46" t="str">
        <f t="shared" si="4"/>
        <v>California</v>
      </c>
      <c r="L46" t="str">
        <f t="shared" si="5"/>
        <v>Ventura County</v>
      </c>
      <c r="M46">
        <f t="shared" si="6"/>
        <v>39</v>
      </c>
    </row>
    <row r="47" spans="1:13" x14ac:dyDescent="0.3">
      <c r="A47" t="s">
        <v>2520</v>
      </c>
      <c r="C47" s="7">
        <v>2240</v>
      </c>
      <c r="D47" s="7">
        <v>123066.00000000003</v>
      </c>
      <c r="G47" t="str">
        <f t="shared" si="2"/>
        <v>Grand Total</v>
      </c>
      <c r="H47" t="str">
        <f t="shared" si="7"/>
        <v/>
      </c>
      <c r="I47">
        <f t="shared" si="8"/>
        <v>2240</v>
      </c>
      <c r="K47" t="str">
        <f t="shared" si="4"/>
        <v>California Total</v>
      </c>
      <c r="L47" t="str">
        <f t="shared" si="5"/>
        <v/>
      </c>
      <c r="M47">
        <f t="shared" si="6"/>
        <v>2240</v>
      </c>
    </row>
    <row r="48" spans="1:13" x14ac:dyDescent="0.3">
      <c r="G48" t="str">
        <f t="shared" si="2"/>
        <v/>
      </c>
      <c r="H48" t="str">
        <f t="shared" si="7"/>
        <v/>
      </c>
      <c r="I48" t="str">
        <f t="shared" si="8"/>
        <v/>
      </c>
      <c r="K48" t="str">
        <f t="shared" si="4"/>
        <v>Grand Total</v>
      </c>
      <c r="L48" t="str">
        <f t="shared" si="5"/>
        <v/>
      </c>
      <c r="M48">
        <f t="shared" si="6"/>
        <v>2240</v>
      </c>
    </row>
    <row r="49" spans="7:13" x14ac:dyDescent="0.3">
      <c r="G49" t="str">
        <f t="shared" si="2"/>
        <v/>
      </c>
      <c r="H49" t="str">
        <f t="shared" si="7"/>
        <v/>
      </c>
      <c r="I49" t="str">
        <f t="shared" si="8"/>
        <v/>
      </c>
      <c r="K49" t="str">
        <f t="shared" si="4"/>
        <v/>
      </c>
      <c r="L49" t="str">
        <f t="shared" si="5"/>
        <v/>
      </c>
      <c r="M49" t="str">
        <f t="shared" si="6"/>
        <v/>
      </c>
    </row>
    <row r="50" spans="7:13" x14ac:dyDescent="0.3">
      <c r="G50" t="str">
        <f t="shared" si="2"/>
        <v/>
      </c>
      <c r="H50" t="str">
        <f t="shared" si="7"/>
        <v/>
      </c>
      <c r="I50" t="str">
        <f t="shared" si="8"/>
        <v/>
      </c>
      <c r="K50" t="str">
        <f t="shared" si="4"/>
        <v/>
      </c>
      <c r="L50" t="str">
        <f t="shared" si="5"/>
        <v/>
      </c>
      <c r="M50" t="str">
        <f t="shared" si="6"/>
        <v/>
      </c>
    </row>
    <row r="51" spans="7:13" x14ac:dyDescent="0.3">
      <c r="G51" t="str">
        <f t="shared" si="2"/>
        <v/>
      </c>
      <c r="H51" t="str">
        <f t="shared" si="7"/>
        <v/>
      </c>
      <c r="I51" t="str">
        <f t="shared" si="8"/>
        <v/>
      </c>
      <c r="K51" t="str">
        <f t="shared" si="4"/>
        <v/>
      </c>
      <c r="L51" t="str">
        <f t="shared" si="5"/>
        <v/>
      </c>
      <c r="M51" t="str">
        <f t="shared" si="6"/>
        <v/>
      </c>
    </row>
    <row r="52" spans="7:13" x14ac:dyDescent="0.3">
      <c r="G52" t="str">
        <f t="shared" si="2"/>
        <v/>
      </c>
      <c r="H52" t="str">
        <f t="shared" si="7"/>
        <v/>
      </c>
      <c r="I52" t="str">
        <f t="shared" si="8"/>
        <v/>
      </c>
      <c r="K52" t="str">
        <f t="shared" si="4"/>
        <v/>
      </c>
      <c r="L52" t="str">
        <f t="shared" si="5"/>
        <v/>
      </c>
      <c r="M52" t="str">
        <f t="shared" si="6"/>
        <v/>
      </c>
    </row>
    <row r="53" spans="7:13" x14ac:dyDescent="0.3">
      <c r="G53" t="str">
        <f t="shared" si="2"/>
        <v/>
      </c>
      <c r="H53" t="str">
        <f t="shared" si="7"/>
        <v/>
      </c>
      <c r="I53" t="str">
        <f t="shared" si="8"/>
        <v/>
      </c>
      <c r="K53" t="str">
        <f t="shared" si="4"/>
        <v/>
      </c>
      <c r="L53" t="str">
        <f t="shared" si="5"/>
        <v/>
      </c>
      <c r="M53" t="str">
        <f t="shared" si="6"/>
        <v/>
      </c>
    </row>
    <row r="54" spans="7:13" x14ac:dyDescent="0.3">
      <c r="G54" t="str">
        <f t="shared" si="2"/>
        <v/>
      </c>
      <c r="H54" t="str">
        <f t="shared" si="7"/>
        <v/>
      </c>
      <c r="I54" t="str">
        <f t="shared" si="8"/>
        <v/>
      </c>
      <c r="K54" t="str">
        <f t="shared" si="4"/>
        <v/>
      </c>
      <c r="L54" t="str">
        <f t="shared" si="5"/>
        <v/>
      </c>
      <c r="M54" t="str">
        <f t="shared" si="6"/>
        <v/>
      </c>
    </row>
    <row r="55" spans="7:13" x14ac:dyDescent="0.3">
      <c r="G55" t="str">
        <f t="shared" si="2"/>
        <v/>
      </c>
      <c r="H55" t="str">
        <f t="shared" si="7"/>
        <v/>
      </c>
      <c r="I55" t="str">
        <f t="shared" si="8"/>
        <v/>
      </c>
      <c r="K55" t="str">
        <f t="shared" si="4"/>
        <v/>
      </c>
      <c r="L55" t="str">
        <f t="shared" si="5"/>
        <v/>
      </c>
      <c r="M55" t="str">
        <f t="shared" si="6"/>
        <v/>
      </c>
    </row>
    <row r="56" spans="7:13" x14ac:dyDescent="0.3">
      <c r="G56" t="str">
        <f t="shared" si="2"/>
        <v/>
      </c>
      <c r="H56" t="str">
        <f t="shared" si="7"/>
        <v/>
      </c>
      <c r="I56" t="str">
        <f t="shared" si="8"/>
        <v/>
      </c>
      <c r="K56" t="str">
        <f t="shared" si="4"/>
        <v/>
      </c>
      <c r="L56" t="str">
        <f t="shared" si="5"/>
        <v/>
      </c>
      <c r="M56" t="str">
        <f t="shared" si="6"/>
        <v/>
      </c>
    </row>
    <row r="57" spans="7:13" x14ac:dyDescent="0.3">
      <c r="G57" t="str">
        <f t="shared" si="2"/>
        <v/>
      </c>
      <c r="H57" t="str">
        <f t="shared" si="7"/>
        <v/>
      </c>
      <c r="I57" t="str">
        <f t="shared" si="8"/>
        <v/>
      </c>
      <c r="K57" t="str">
        <f t="shared" si="4"/>
        <v/>
      </c>
      <c r="L57" t="str">
        <f t="shared" si="5"/>
        <v/>
      </c>
      <c r="M57" t="str">
        <f t="shared" si="6"/>
        <v/>
      </c>
    </row>
    <row r="58" spans="7:13" x14ac:dyDescent="0.3">
      <c r="G58" t="str">
        <f t="shared" si="2"/>
        <v/>
      </c>
      <c r="H58" t="str">
        <f t="shared" si="7"/>
        <v/>
      </c>
      <c r="I58" t="str">
        <f t="shared" si="8"/>
        <v/>
      </c>
      <c r="K58" t="str">
        <f t="shared" si="4"/>
        <v/>
      </c>
      <c r="L58" t="str">
        <f t="shared" si="5"/>
        <v/>
      </c>
      <c r="M58" t="str">
        <f t="shared" si="6"/>
        <v/>
      </c>
    </row>
    <row r="59" spans="7:13" x14ac:dyDescent="0.3">
      <c r="G59" t="str">
        <f t="shared" si="2"/>
        <v/>
      </c>
      <c r="H59" t="str">
        <f t="shared" si="7"/>
        <v/>
      </c>
      <c r="I59" t="str">
        <f t="shared" si="8"/>
        <v/>
      </c>
      <c r="K59" t="str">
        <f t="shared" si="4"/>
        <v/>
      </c>
      <c r="L59" t="str">
        <f t="shared" si="5"/>
        <v/>
      </c>
      <c r="M59" t="str">
        <f t="shared" si="6"/>
        <v/>
      </c>
    </row>
    <row r="60" spans="7:13" x14ac:dyDescent="0.3">
      <c r="G60" t="str">
        <f t="shared" si="2"/>
        <v/>
      </c>
      <c r="H60" t="str">
        <f t="shared" si="7"/>
        <v/>
      </c>
      <c r="I60" t="str">
        <f t="shared" si="8"/>
        <v/>
      </c>
      <c r="K60" t="str">
        <f t="shared" si="4"/>
        <v/>
      </c>
      <c r="L60" t="str">
        <f t="shared" si="5"/>
        <v/>
      </c>
      <c r="M60" t="str">
        <f t="shared" si="6"/>
        <v/>
      </c>
    </row>
    <row r="61" spans="7:13" x14ac:dyDescent="0.3">
      <c r="G61" t="str">
        <f t="shared" si="2"/>
        <v/>
      </c>
      <c r="H61" t="str">
        <f t="shared" si="7"/>
        <v/>
      </c>
      <c r="I61" t="str">
        <f t="shared" si="8"/>
        <v/>
      </c>
      <c r="K61" t="str">
        <f t="shared" si="4"/>
        <v/>
      </c>
      <c r="L61" t="str">
        <f t="shared" si="5"/>
        <v/>
      </c>
      <c r="M61" t="str">
        <f t="shared" si="6"/>
        <v/>
      </c>
    </row>
    <row r="62" spans="7:13" x14ac:dyDescent="0.3">
      <c r="G62" t="str">
        <f t="shared" si="2"/>
        <v/>
      </c>
      <c r="H62" t="str">
        <f t="shared" si="7"/>
        <v/>
      </c>
      <c r="I62" t="str">
        <f t="shared" si="8"/>
        <v/>
      </c>
      <c r="K62" t="str">
        <f t="shared" si="4"/>
        <v/>
      </c>
      <c r="L62" t="str">
        <f t="shared" si="5"/>
        <v/>
      </c>
      <c r="M62" t="str">
        <f t="shared" si="6"/>
        <v/>
      </c>
    </row>
    <row r="63" spans="7:13" x14ac:dyDescent="0.3">
      <c r="G63" t="str">
        <f t="shared" si="2"/>
        <v/>
      </c>
      <c r="H63" t="str">
        <f t="shared" si="7"/>
        <v/>
      </c>
      <c r="I63" t="str">
        <f t="shared" si="8"/>
        <v/>
      </c>
      <c r="K63" t="str">
        <f t="shared" si="4"/>
        <v/>
      </c>
      <c r="L63" t="str">
        <f t="shared" si="5"/>
        <v/>
      </c>
      <c r="M63" t="str">
        <f t="shared" si="6"/>
        <v/>
      </c>
    </row>
    <row r="64" spans="7:13" x14ac:dyDescent="0.3">
      <c r="G64" t="str">
        <f t="shared" si="2"/>
        <v/>
      </c>
      <c r="H64" t="str">
        <f t="shared" si="7"/>
        <v/>
      </c>
      <c r="I64" t="str">
        <f t="shared" si="8"/>
        <v/>
      </c>
      <c r="K64" t="str">
        <f t="shared" si="4"/>
        <v/>
      </c>
      <c r="L64" t="str">
        <f t="shared" si="5"/>
        <v/>
      </c>
      <c r="M64" t="str">
        <f t="shared" si="6"/>
        <v/>
      </c>
    </row>
    <row r="65" spans="7:13" x14ac:dyDescent="0.3">
      <c r="G65" t="str">
        <f t="shared" si="2"/>
        <v/>
      </c>
      <c r="H65" t="str">
        <f t="shared" si="7"/>
        <v/>
      </c>
      <c r="I65" t="str">
        <f t="shared" si="8"/>
        <v/>
      </c>
      <c r="K65" t="str">
        <f t="shared" si="4"/>
        <v/>
      </c>
      <c r="L65" t="str">
        <f t="shared" si="5"/>
        <v/>
      </c>
      <c r="M65" t="str">
        <f t="shared" si="6"/>
        <v/>
      </c>
    </row>
    <row r="66" spans="7:13" x14ac:dyDescent="0.3">
      <c r="G66" t="str">
        <f t="shared" si="2"/>
        <v/>
      </c>
      <c r="H66" t="str">
        <f t="shared" si="7"/>
        <v/>
      </c>
      <c r="I66" t="str">
        <f t="shared" si="8"/>
        <v/>
      </c>
      <c r="K66" t="str">
        <f t="shared" si="4"/>
        <v/>
      </c>
      <c r="L66" t="str">
        <f t="shared" si="5"/>
        <v/>
      </c>
      <c r="M66" t="str">
        <f t="shared" si="6"/>
        <v/>
      </c>
    </row>
    <row r="67" spans="7:13" x14ac:dyDescent="0.3">
      <c r="G67" t="str">
        <f t="shared" si="2"/>
        <v/>
      </c>
      <c r="H67" t="str">
        <f t="shared" si="7"/>
        <v/>
      </c>
      <c r="I67" t="str">
        <f t="shared" si="8"/>
        <v/>
      </c>
      <c r="K67" t="str">
        <f t="shared" si="4"/>
        <v/>
      </c>
      <c r="L67" t="str">
        <f t="shared" si="5"/>
        <v/>
      </c>
      <c r="M67" t="str">
        <f t="shared" si="6"/>
        <v/>
      </c>
    </row>
    <row r="68" spans="7:13" x14ac:dyDescent="0.3">
      <c r="G68" t="str">
        <f t="shared" si="2"/>
        <v/>
      </c>
      <c r="H68" t="str">
        <f t="shared" si="7"/>
        <v/>
      </c>
      <c r="I68" t="str">
        <f t="shared" si="8"/>
        <v/>
      </c>
      <c r="K68" t="str">
        <f t="shared" si="4"/>
        <v/>
      </c>
      <c r="L68" t="str">
        <f t="shared" si="5"/>
        <v/>
      </c>
      <c r="M68" t="str">
        <f t="shared" si="6"/>
        <v/>
      </c>
    </row>
    <row r="69" spans="7:13" x14ac:dyDescent="0.3">
      <c r="G69" t="str">
        <f t="shared" ref="G69:G132" si="9">IF(A69="","",A69)</f>
        <v/>
      </c>
      <c r="H69" t="str">
        <f t="shared" si="7"/>
        <v/>
      </c>
      <c r="I69" t="str">
        <f t="shared" si="8"/>
        <v/>
      </c>
      <c r="K69" t="str">
        <f t="shared" si="4"/>
        <v/>
      </c>
      <c r="L69" t="str">
        <f t="shared" si="5"/>
        <v/>
      </c>
      <c r="M69" t="str">
        <f t="shared" si="6"/>
        <v/>
      </c>
    </row>
    <row r="70" spans="7:13" x14ac:dyDescent="0.3">
      <c r="G70" t="str">
        <f t="shared" si="9"/>
        <v/>
      </c>
      <c r="H70" t="str">
        <f t="shared" si="7"/>
        <v/>
      </c>
      <c r="I70" t="str">
        <f t="shared" si="8"/>
        <v/>
      </c>
      <c r="K70" t="str">
        <f t="shared" ref="K70:K133" si="10">IF(A69="","",A69)</f>
        <v/>
      </c>
      <c r="L70" t="str">
        <f t="shared" ref="L70:L133" si="11">IF(B69="","",B69)</f>
        <v/>
      </c>
      <c r="M70" t="str">
        <f t="shared" ref="M70:M133" si="12">IF(C69="","",C69)</f>
        <v/>
      </c>
    </row>
    <row r="71" spans="7:13" x14ac:dyDescent="0.3">
      <c r="G71" t="str">
        <f t="shared" si="9"/>
        <v/>
      </c>
      <c r="H71" t="str">
        <f t="shared" si="7"/>
        <v/>
      </c>
      <c r="I71" t="str">
        <f t="shared" si="8"/>
        <v/>
      </c>
      <c r="K71" t="str">
        <f t="shared" si="10"/>
        <v/>
      </c>
      <c r="L71" t="str">
        <f t="shared" si="11"/>
        <v/>
      </c>
      <c r="M71" t="str">
        <f t="shared" si="12"/>
        <v/>
      </c>
    </row>
    <row r="72" spans="7:13" x14ac:dyDescent="0.3">
      <c r="G72" t="str">
        <f t="shared" si="9"/>
        <v/>
      </c>
      <c r="H72" t="str">
        <f t="shared" si="7"/>
        <v/>
      </c>
      <c r="I72" t="str">
        <f t="shared" si="8"/>
        <v/>
      </c>
      <c r="K72" t="str">
        <f t="shared" si="10"/>
        <v/>
      </c>
      <c r="L72" t="str">
        <f t="shared" si="11"/>
        <v/>
      </c>
      <c r="M72" t="str">
        <f t="shared" si="12"/>
        <v/>
      </c>
    </row>
    <row r="73" spans="7:13" x14ac:dyDescent="0.3">
      <c r="G73" t="str">
        <f t="shared" si="9"/>
        <v/>
      </c>
      <c r="H73" t="str">
        <f t="shared" si="7"/>
        <v/>
      </c>
      <c r="I73" t="str">
        <f t="shared" si="8"/>
        <v/>
      </c>
      <c r="K73" t="str">
        <f t="shared" si="10"/>
        <v/>
      </c>
      <c r="L73" t="str">
        <f t="shared" si="11"/>
        <v/>
      </c>
      <c r="M73" t="str">
        <f t="shared" si="12"/>
        <v/>
      </c>
    </row>
    <row r="74" spans="7:13" x14ac:dyDescent="0.3">
      <c r="G74" t="str">
        <f t="shared" si="9"/>
        <v/>
      </c>
      <c r="H74" t="str">
        <f t="shared" si="7"/>
        <v/>
      </c>
      <c r="I74" t="str">
        <f t="shared" si="8"/>
        <v/>
      </c>
      <c r="K74" t="str">
        <f t="shared" si="10"/>
        <v/>
      </c>
      <c r="L74" t="str">
        <f t="shared" si="11"/>
        <v/>
      </c>
      <c r="M74" t="str">
        <f t="shared" si="12"/>
        <v/>
      </c>
    </row>
    <row r="75" spans="7:13" x14ac:dyDescent="0.3">
      <c r="G75" t="str">
        <f t="shared" si="9"/>
        <v/>
      </c>
      <c r="H75" t="str">
        <f t="shared" si="7"/>
        <v/>
      </c>
      <c r="I75" t="str">
        <f t="shared" si="8"/>
        <v/>
      </c>
      <c r="K75" t="str">
        <f t="shared" si="10"/>
        <v/>
      </c>
      <c r="L75" t="str">
        <f t="shared" si="11"/>
        <v/>
      </c>
      <c r="M75" t="str">
        <f t="shared" si="12"/>
        <v/>
      </c>
    </row>
    <row r="76" spans="7:13" x14ac:dyDescent="0.3">
      <c r="G76" t="str">
        <f t="shared" si="9"/>
        <v/>
      </c>
      <c r="H76" t="str">
        <f t="shared" si="7"/>
        <v/>
      </c>
      <c r="I76" t="str">
        <f t="shared" si="8"/>
        <v/>
      </c>
      <c r="K76" t="str">
        <f t="shared" si="10"/>
        <v/>
      </c>
      <c r="L76" t="str">
        <f t="shared" si="11"/>
        <v/>
      </c>
      <c r="M76" t="str">
        <f t="shared" si="12"/>
        <v/>
      </c>
    </row>
    <row r="77" spans="7:13" x14ac:dyDescent="0.3">
      <c r="G77" t="str">
        <f t="shared" si="9"/>
        <v/>
      </c>
      <c r="H77" t="str">
        <f t="shared" si="7"/>
        <v/>
      </c>
      <c r="I77" t="str">
        <f t="shared" si="8"/>
        <v/>
      </c>
      <c r="K77" t="str">
        <f t="shared" si="10"/>
        <v/>
      </c>
      <c r="L77" t="str">
        <f t="shared" si="11"/>
        <v/>
      </c>
      <c r="M77" t="str">
        <f t="shared" si="12"/>
        <v/>
      </c>
    </row>
    <row r="78" spans="7:13" x14ac:dyDescent="0.3">
      <c r="G78" t="str">
        <f t="shared" si="9"/>
        <v/>
      </c>
      <c r="H78" t="str">
        <f t="shared" si="7"/>
        <v/>
      </c>
      <c r="I78" t="str">
        <f t="shared" si="8"/>
        <v/>
      </c>
      <c r="K78" t="str">
        <f t="shared" si="10"/>
        <v/>
      </c>
      <c r="L78" t="str">
        <f t="shared" si="11"/>
        <v/>
      </c>
      <c r="M78" t="str">
        <f t="shared" si="12"/>
        <v/>
      </c>
    </row>
    <row r="79" spans="7:13" x14ac:dyDescent="0.3">
      <c r="G79" t="str">
        <f t="shared" si="9"/>
        <v/>
      </c>
      <c r="H79" t="str">
        <f t="shared" si="7"/>
        <v/>
      </c>
      <c r="I79" t="str">
        <f t="shared" si="8"/>
        <v/>
      </c>
      <c r="K79" t="str">
        <f t="shared" si="10"/>
        <v/>
      </c>
      <c r="L79" t="str">
        <f t="shared" si="11"/>
        <v/>
      </c>
      <c r="M79" t="str">
        <f t="shared" si="12"/>
        <v/>
      </c>
    </row>
    <row r="80" spans="7:13" x14ac:dyDescent="0.3">
      <c r="G80" t="str">
        <f t="shared" si="9"/>
        <v/>
      </c>
      <c r="H80" t="str">
        <f t="shared" si="7"/>
        <v/>
      </c>
      <c r="I80" t="str">
        <f t="shared" si="8"/>
        <v/>
      </c>
      <c r="K80" t="str">
        <f t="shared" si="10"/>
        <v/>
      </c>
      <c r="L80" t="str">
        <f t="shared" si="11"/>
        <v/>
      </c>
      <c r="M80" t="str">
        <f t="shared" si="12"/>
        <v/>
      </c>
    </row>
    <row r="81" spans="7:13" x14ac:dyDescent="0.3">
      <c r="G81" t="str">
        <f t="shared" si="9"/>
        <v/>
      </c>
      <c r="H81" t="str">
        <f t="shared" si="7"/>
        <v/>
      </c>
      <c r="I81" t="str">
        <f t="shared" si="8"/>
        <v/>
      </c>
      <c r="K81" t="str">
        <f t="shared" si="10"/>
        <v/>
      </c>
      <c r="L81" t="str">
        <f t="shared" si="11"/>
        <v/>
      </c>
      <c r="M81" t="str">
        <f t="shared" si="12"/>
        <v/>
      </c>
    </row>
    <row r="82" spans="7:13" x14ac:dyDescent="0.3">
      <c r="G82" t="str">
        <f t="shared" si="9"/>
        <v/>
      </c>
      <c r="H82" t="str">
        <f t="shared" si="7"/>
        <v/>
      </c>
      <c r="I82" t="str">
        <f t="shared" si="8"/>
        <v/>
      </c>
      <c r="K82" t="str">
        <f t="shared" si="10"/>
        <v/>
      </c>
      <c r="L82" t="str">
        <f t="shared" si="11"/>
        <v/>
      </c>
      <c r="M82" t="str">
        <f t="shared" si="12"/>
        <v/>
      </c>
    </row>
    <row r="83" spans="7:13" x14ac:dyDescent="0.3">
      <c r="G83" t="str">
        <f t="shared" si="9"/>
        <v/>
      </c>
      <c r="H83" t="str">
        <f t="shared" si="7"/>
        <v/>
      </c>
      <c r="I83" t="str">
        <f t="shared" si="8"/>
        <v/>
      </c>
      <c r="K83" t="str">
        <f t="shared" si="10"/>
        <v/>
      </c>
      <c r="L83" t="str">
        <f t="shared" si="11"/>
        <v/>
      </c>
      <c r="M83" t="str">
        <f t="shared" si="12"/>
        <v/>
      </c>
    </row>
    <row r="84" spans="7:13" x14ac:dyDescent="0.3">
      <c r="G84" t="str">
        <f t="shared" si="9"/>
        <v/>
      </c>
      <c r="H84" t="str">
        <f t="shared" ref="H84:H147" si="13">IF(B84="","",B84)</f>
        <v/>
      </c>
      <c r="I84" t="str">
        <f t="shared" ref="I84:I147" si="14">IF(C84="","",C84)</f>
        <v/>
      </c>
      <c r="K84" t="str">
        <f t="shared" si="10"/>
        <v/>
      </c>
      <c r="L84" t="str">
        <f t="shared" si="11"/>
        <v/>
      </c>
      <c r="M84" t="str">
        <f t="shared" si="12"/>
        <v/>
      </c>
    </row>
    <row r="85" spans="7:13" x14ac:dyDescent="0.3">
      <c r="G85" t="str">
        <f t="shared" si="9"/>
        <v/>
      </c>
      <c r="H85" t="str">
        <f t="shared" si="13"/>
        <v/>
      </c>
      <c r="I85" t="str">
        <f t="shared" si="14"/>
        <v/>
      </c>
      <c r="K85" t="str">
        <f t="shared" si="10"/>
        <v/>
      </c>
      <c r="L85" t="str">
        <f t="shared" si="11"/>
        <v/>
      </c>
      <c r="M85" t="str">
        <f t="shared" si="12"/>
        <v/>
      </c>
    </row>
    <row r="86" spans="7:13" x14ac:dyDescent="0.3">
      <c r="G86" t="str">
        <f t="shared" si="9"/>
        <v/>
      </c>
      <c r="H86" t="str">
        <f t="shared" si="13"/>
        <v/>
      </c>
      <c r="I86" t="str">
        <f t="shared" si="14"/>
        <v/>
      </c>
      <c r="K86" t="str">
        <f t="shared" si="10"/>
        <v/>
      </c>
      <c r="L86" t="str">
        <f t="shared" si="11"/>
        <v/>
      </c>
      <c r="M86" t="str">
        <f t="shared" si="12"/>
        <v/>
      </c>
    </row>
    <row r="87" spans="7:13" x14ac:dyDescent="0.3">
      <c r="G87" t="str">
        <f t="shared" si="9"/>
        <v/>
      </c>
      <c r="H87" t="str">
        <f t="shared" si="13"/>
        <v/>
      </c>
      <c r="I87" t="str">
        <f t="shared" si="14"/>
        <v/>
      </c>
      <c r="K87" t="str">
        <f t="shared" si="10"/>
        <v/>
      </c>
      <c r="L87" t="str">
        <f t="shared" si="11"/>
        <v/>
      </c>
      <c r="M87" t="str">
        <f t="shared" si="12"/>
        <v/>
      </c>
    </row>
    <row r="88" spans="7:13" x14ac:dyDescent="0.3">
      <c r="G88" t="str">
        <f t="shared" si="9"/>
        <v/>
      </c>
      <c r="H88" t="str">
        <f t="shared" si="13"/>
        <v/>
      </c>
      <c r="I88" t="str">
        <f t="shared" si="14"/>
        <v/>
      </c>
      <c r="K88" t="str">
        <f t="shared" si="10"/>
        <v/>
      </c>
      <c r="L88" t="str">
        <f t="shared" si="11"/>
        <v/>
      </c>
      <c r="M88" t="str">
        <f t="shared" si="12"/>
        <v/>
      </c>
    </row>
    <row r="89" spans="7:13" x14ac:dyDescent="0.3">
      <c r="G89" t="str">
        <f t="shared" si="9"/>
        <v/>
      </c>
      <c r="H89" t="str">
        <f t="shared" si="13"/>
        <v/>
      </c>
      <c r="I89" t="str">
        <f t="shared" si="14"/>
        <v/>
      </c>
      <c r="K89" t="str">
        <f t="shared" si="10"/>
        <v/>
      </c>
      <c r="L89" t="str">
        <f t="shared" si="11"/>
        <v/>
      </c>
      <c r="M89" t="str">
        <f t="shared" si="12"/>
        <v/>
      </c>
    </row>
    <row r="90" spans="7:13" x14ac:dyDescent="0.3">
      <c r="G90" t="str">
        <f t="shared" si="9"/>
        <v/>
      </c>
      <c r="H90" t="str">
        <f t="shared" si="13"/>
        <v/>
      </c>
      <c r="I90" t="str">
        <f t="shared" si="14"/>
        <v/>
      </c>
      <c r="K90" t="str">
        <f t="shared" si="10"/>
        <v/>
      </c>
      <c r="L90" t="str">
        <f t="shared" si="11"/>
        <v/>
      </c>
      <c r="M90" t="str">
        <f t="shared" si="12"/>
        <v/>
      </c>
    </row>
    <row r="91" spans="7:13" x14ac:dyDescent="0.3">
      <c r="G91" t="str">
        <f t="shared" si="9"/>
        <v/>
      </c>
      <c r="H91" t="str">
        <f t="shared" si="13"/>
        <v/>
      </c>
      <c r="I91" t="str">
        <f t="shared" si="14"/>
        <v/>
      </c>
      <c r="K91" t="str">
        <f t="shared" si="10"/>
        <v/>
      </c>
      <c r="L91" t="str">
        <f t="shared" si="11"/>
        <v/>
      </c>
      <c r="M91" t="str">
        <f t="shared" si="12"/>
        <v/>
      </c>
    </row>
    <row r="92" spans="7:13" x14ac:dyDescent="0.3">
      <c r="G92" t="str">
        <f t="shared" si="9"/>
        <v/>
      </c>
      <c r="H92" t="str">
        <f t="shared" si="13"/>
        <v/>
      </c>
      <c r="I92" t="str">
        <f t="shared" si="14"/>
        <v/>
      </c>
      <c r="K92" t="str">
        <f t="shared" si="10"/>
        <v/>
      </c>
      <c r="L92" t="str">
        <f t="shared" si="11"/>
        <v/>
      </c>
      <c r="M92" t="str">
        <f t="shared" si="12"/>
        <v/>
      </c>
    </row>
    <row r="93" spans="7:13" x14ac:dyDescent="0.3">
      <c r="G93" t="str">
        <f t="shared" si="9"/>
        <v/>
      </c>
      <c r="H93" t="str">
        <f t="shared" si="13"/>
        <v/>
      </c>
      <c r="I93" t="str">
        <f t="shared" si="14"/>
        <v/>
      </c>
      <c r="K93" t="str">
        <f t="shared" si="10"/>
        <v/>
      </c>
      <c r="L93" t="str">
        <f t="shared" si="11"/>
        <v/>
      </c>
      <c r="M93" t="str">
        <f t="shared" si="12"/>
        <v/>
      </c>
    </row>
    <row r="94" spans="7:13" x14ac:dyDescent="0.3">
      <c r="G94" t="str">
        <f t="shared" si="9"/>
        <v/>
      </c>
      <c r="H94" t="str">
        <f t="shared" si="13"/>
        <v/>
      </c>
      <c r="I94" t="str">
        <f t="shared" si="14"/>
        <v/>
      </c>
      <c r="K94" t="str">
        <f t="shared" si="10"/>
        <v/>
      </c>
      <c r="L94" t="str">
        <f t="shared" si="11"/>
        <v/>
      </c>
      <c r="M94" t="str">
        <f t="shared" si="12"/>
        <v/>
      </c>
    </row>
    <row r="95" spans="7:13" x14ac:dyDescent="0.3">
      <c r="G95" t="str">
        <f t="shared" si="9"/>
        <v/>
      </c>
      <c r="H95" t="str">
        <f t="shared" si="13"/>
        <v/>
      </c>
      <c r="I95" t="str">
        <f t="shared" si="14"/>
        <v/>
      </c>
      <c r="K95" t="str">
        <f t="shared" si="10"/>
        <v/>
      </c>
      <c r="L95" t="str">
        <f t="shared" si="11"/>
        <v/>
      </c>
      <c r="M95" t="str">
        <f t="shared" si="12"/>
        <v/>
      </c>
    </row>
    <row r="96" spans="7:13" x14ac:dyDescent="0.3">
      <c r="G96" t="str">
        <f t="shared" si="9"/>
        <v/>
      </c>
      <c r="H96" t="str">
        <f t="shared" si="13"/>
        <v/>
      </c>
      <c r="I96" t="str">
        <f t="shared" si="14"/>
        <v/>
      </c>
      <c r="K96" t="str">
        <f t="shared" si="10"/>
        <v/>
      </c>
      <c r="L96" t="str">
        <f t="shared" si="11"/>
        <v/>
      </c>
      <c r="M96" t="str">
        <f t="shared" si="12"/>
        <v/>
      </c>
    </row>
    <row r="97" spans="7:13" x14ac:dyDescent="0.3">
      <c r="G97" t="str">
        <f t="shared" si="9"/>
        <v/>
      </c>
      <c r="H97" t="str">
        <f t="shared" si="13"/>
        <v/>
      </c>
      <c r="I97" t="str">
        <f t="shared" si="14"/>
        <v/>
      </c>
      <c r="K97" t="str">
        <f t="shared" si="10"/>
        <v/>
      </c>
      <c r="L97" t="str">
        <f t="shared" si="11"/>
        <v/>
      </c>
      <c r="M97" t="str">
        <f t="shared" si="12"/>
        <v/>
      </c>
    </row>
    <row r="98" spans="7:13" x14ac:dyDescent="0.3">
      <c r="G98" t="str">
        <f t="shared" si="9"/>
        <v/>
      </c>
      <c r="H98" t="str">
        <f t="shared" si="13"/>
        <v/>
      </c>
      <c r="I98" t="str">
        <f t="shared" si="14"/>
        <v/>
      </c>
      <c r="K98" t="str">
        <f t="shared" si="10"/>
        <v/>
      </c>
      <c r="L98" t="str">
        <f t="shared" si="11"/>
        <v/>
      </c>
      <c r="M98" t="str">
        <f t="shared" si="12"/>
        <v/>
      </c>
    </row>
    <row r="99" spans="7:13" x14ac:dyDescent="0.3">
      <c r="G99" t="str">
        <f t="shared" si="9"/>
        <v/>
      </c>
      <c r="H99" t="str">
        <f t="shared" si="13"/>
        <v/>
      </c>
      <c r="I99" t="str">
        <f t="shared" si="14"/>
        <v/>
      </c>
      <c r="K99" t="str">
        <f t="shared" si="10"/>
        <v/>
      </c>
      <c r="L99" t="str">
        <f t="shared" si="11"/>
        <v/>
      </c>
      <c r="M99" t="str">
        <f t="shared" si="12"/>
        <v/>
      </c>
    </row>
    <row r="100" spans="7:13" x14ac:dyDescent="0.3">
      <c r="G100" t="str">
        <f t="shared" si="9"/>
        <v/>
      </c>
      <c r="H100" t="str">
        <f t="shared" si="13"/>
        <v/>
      </c>
      <c r="I100" t="str">
        <f t="shared" si="14"/>
        <v/>
      </c>
      <c r="K100" t="str">
        <f t="shared" si="10"/>
        <v/>
      </c>
      <c r="L100" t="str">
        <f t="shared" si="11"/>
        <v/>
      </c>
      <c r="M100" t="str">
        <f t="shared" si="12"/>
        <v/>
      </c>
    </row>
    <row r="101" spans="7:13" x14ac:dyDescent="0.3">
      <c r="G101" t="str">
        <f t="shared" si="9"/>
        <v/>
      </c>
      <c r="H101" t="str">
        <f t="shared" si="13"/>
        <v/>
      </c>
      <c r="I101" t="str">
        <f t="shared" si="14"/>
        <v/>
      </c>
      <c r="K101" t="str">
        <f t="shared" si="10"/>
        <v/>
      </c>
      <c r="L101" t="str">
        <f t="shared" si="11"/>
        <v/>
      </c>
      <c r="M101" t="str">
        <f t="shared" si="12"/>
        <v/>
      </c>
    </row>
    <row r="102" spans="7:13" x14ac:dyDescent="0.3">
      <c r="G102" t="str">
        <f t="shared" si="9"/>
        <v/>
      </c>
      <c r="H102" t="str">
        <f t="shared" si="13"/>
        <v/>
      </c>
      <c r="I102" t="str">
        <f t="shared" si="14"/>
        <v/>
      </c>
      <c r="K102" t="str">
        <f t="shared" si="10"/>
        <v/>
      </c>
      <c r="L102" t="str">
        <f t="shared" si="11"/>
        <v/>
      </c>
      <c r="M102" t="str">
        <f t="shared" si="12"/>
        <v/>
      </c>
    </row>
    <row r="103" spans="7:13" x14ac:dyDescent="0.3">
      <c r="G103" t="str">
        <f t="shared" si="9"/>
        <v/>
      </c>
      <c r="H103" t="str">
        <f t="shared" si="13"/>
        <v/>
      </c>
      <c r="I103" t="str">
        <f t="shared" si="14"/>
        <v/>
      </c>
      <c r="K103" t="str">
        <f t="shared" si="10"/>
        <v/>
      </c>
      <c r="L103" t="str">
        <f t="shared" si="11"/>
        <v/>
      </c>
      <c r="M103" t="str">
        <f t="shared" si="12"/>
        <v/>
      </c>
    </row>
    <row r="104" spans="7:13" x14ac:dyDescent="0.3">
      <c r="G104" t="str">
        <f t="shared" si="9"/>
        <v/>
      </c>
      <c r="H104" t="str">
        <f t="shared" si="13"/>
        <v/>
      </c>
      <c r="I104" t="str">
        <f t="shared" si="14"/>
        <v/>
      </c>
      <c r="K104" t="str">
        <f t="shared" si="10"/>
        <v/>
      </c>
      <c r="L104" t="str">
        <f t="shared" si="11"/>
        <v/>
      </c>
      <c r="M104" t="str">
        <f t="shared" si="12"/>
        <v/>
      </c>
    </row>
    <row r="105" spans="7:13" x14ac:dyDescent="0.3">
      <c r="G105" t="str">
        <f t="shared" si="9"/>
        <v/>
      </c>
      <c r="H105" t="str">
        <f t="shared" si="13"/>
        <v/>
      </c>
      <c r="I105" t="str">
        <f t="shared" si="14"/>
        <v/>
      </c>
      <c r="K105" t="str">
        <f t="shared" si="10"/>
        <v/>
      </c>
      <c r="L105" t="str">
        <f t="shared" si="11"/>
        <v/>
      </c>
      <c r="M105" t="str">
        <f t="shared" si="12"/>
        <v/>
      </c>
    </row>
    <row r="106" spans="7:13" x14ac:dyDescent="0.3">
      <c r="G106" t="str">
        <f t="shared" si="9"/>
        <v/>
      </c>
      <c r="H106" t="str">
        <f t="shared" si="13"/>
        <v/>
      </c>
      <c r="I106" t="str">
        <f t="shared" si="14"/>
        <v/>
      </c>
      <c r="K106" t="str">
        <f t="shared" si="10"/>
        <v/>
      </c>
      <c r="L106" t="str">
        <f t="shared" si="11"/>
        <v/>
      </c>
      <c r="M106" t="str">
        <f t="shared" si="12"/>
        <v/>
      </c>
    </row>
    <row r="107" spans="7:13" x14ac:dyDescent="0.3">
      <c r="G107" t="str">
        <f t="shared" si="9"/>
        <v/>
      </c>
      <c r="H107" t="str">
        <f t="shared" si="13"/>
        <v/>
      </c>
      <c r="I107" t="str">
        <f t="shared" si="14"/>
        <v/>
      </c>
      <c r="K107" t="str">
        <f t="shared" si="10"/>
        <v/>
      </c>
      <c r="L107" t="str">
        <f t="shared" si="11"/>
        <v/>
      </c>
      <c r="M107" t="str">
        <f t="shared" si="12"/>
        <v/>
      </c>
    </row>
    <row r="108" spans="7:13" x14ac:dyDescent="0.3">
      <c r="G108" t="str">
        <f t="shared" si="9"/>
        <v/>
      </c>
      <c r="H108" t="str">
        <f t="shared" si="13"/>
        <v/>
      </c>
      <c r="I108" t="str">
        <f t="shared" si="14"/>
        <v/>
      </c>
      <c r="K108" t="str">
        <f t="shared" si="10"/>
        <v/>
      </c>
      <c r="L108" t="str">
        <f t="shared" si="11"/>
        <v/>
      </c>
      <c r="M108" t="str">
        <f t="shared" si="12"/>
        <v/>
      </c>
    </row>
    <row r="109" spans="7:13" x14ac:dyDescent="0.3">
      <c r="G109" t="str">
        <f t="shared" si="9"/>
        <v/>
      </c>
      <c r="H109" t="str">
        <f t="shared" si="13"/>
        <v/>
      </c>
      <c r="I109" t="str">
        <f t="shared" si="14"/>
        <v/>
      </c>
      <c r="K109" t="str">
        <f t="shared" si="10"/>
        <v/>
      </c>
      <c r="L109" t="str">
        <f t="shared" si="11"/>
        <v/>
      </c>
      <c r="M109" t="str">
        <f t="shared" si="12"/>
        <v/>
      </c>
    </row>
    <row r="110" spans="7:13" x14ac:dyDescent="0.3">
      <c r="G110" t="str">
        <f t="shared" si="9"/>
        <v/>
      </c>
      <c r="H110" t="str">
        <f t="shared" si="13"/>
        <v/>
      </c>
      <c r="I110" t="str">
        <f t="shared" si="14"/>
        <v/>
      </c>
      <c r="K110" t="str">
        <f t="shared" si="10"/>
        <v/>
      </c>
      <c r="L110" t="str">
        <f t="shared" si="11"/>
        <v/>
      </c>
      <c r="M110" t="str">
        <f t="shared" si="12"/>
        <v/>
      </c>
    </row>
    <row r="111" spans="7:13" x14ac:dyDescent="0.3">
      <c r="G111" t="str">
        <f t="shared" si="9"/>
        <v/>
      </c>
      <c r="H111" t="str">
        <f t="shared" si="13"/>
        <v/>
      </c>
      <c r="I111" t="str">
        <f t="shared" si="14"/>
        <v/>
      </c>
      <c r="K111" t="str">
        <f t="shared" si="10"/>
        <v/>
      </c>
      <c r="L111" t="str">
        <f t="shared" si="11"/>
        <v/>
      </c>
      <c r="M111" t="str">
        <f t="shared" si="12"/>
        <v/>
      </c>
    </row>
    <row r="112" spans="7:13" x14ac:dyDescent="0.3">
      <c r="G112" t="str">
        <f t="shared" si="9"/>
        <v/>
      </c>
      <c r="H112" t="str">
        <f t="shared" si="13"/>
        <v/>
      </c>
      <c r="I112" t="str">
        <f t="shared" si="14"/>
        <v/>
      </c>
      <c r="K112" t="str">
        <f t="shared" si="10"/>
        <v/>
      </c>
      <c r="L112" t="str">
        <f t="shared" si="11"/>
        <v/>
      </c>
      <c r="M112" t="str">
        <f t="shared" si="12"/>
        <v/>
      </c>
    </row>
    <row r="113" spans="7:13" x14ac:dyDescent="0.3">
      <c r="G113" t="str">
        <f t="shared" si="9"/>
        <v/>
      </c>
      <c r="H113" t="str">
        <f t="shared" si="13"/>
        <v/>
      </c>
      <c r="I113" t="str">
        <f t="shared" si="14"/>
        <v/>
      </c>
      <c r="K113" t="str">
        <f t="shared" si="10"/>
        <v/>
      </c>
      <c r="L113" t="str">
        <f t="shared" si="11"/>
        <v/>
      </c>
      <c r="M113" t="str">
        <f t="shared" si="12"/>
        <v/>
      </c>
    </row>
    <row r="114" spans="7:13" x14ac:dyDescent="0.3">
      <c r="G114" t="str">
        <f t="shared" si="9"/>
        <v/>
      </c>
      <c r="H114" t="str">
        <f t="shared" si="13"/>
        <v/>
      </c>
      <c r="I114" t="str">
        <f t="shared" si="14"/>
        <v/>
      </c>
      <c r="K114" t="str">
        <f t="shared" si="10"/>
        <v/>
      </c>
      <c r="L114" t="str">
        <f t="shared" si="11"/>
        <v/>
      </c>
      <c r="M114" t="str">
        <f t="shared" si="12"/>
        <v/>
      </c>
    </row>
    <row r="115" spans="7:13" x14ac:dyDescent="0.3">
      <c r="G115" t="str">
        <f t="shared" si="9"/>
        <v/>
      </c>
      <c r="H115" t="str">
        <f t="shared" si="13"/>
        <v/>
      </c>
      <c r="I115" t="str">
        <f t="shared" si="14"/>
        <v/>
      </c>
      <c r="K115" t="str">
        <f t="shared" si="10"/>
        <v/>
      </c>
      <c r="L115" t="str">
        <f t="shared" si="11"/>
        <v/>
      </c>
      <c r="M115" t="str">
        <f t="shared" si="12"/>
        <v/>
      </c>
    </row>
    <row r="116" spans="7:13" x14ac:dyDescent="0.3">
      <c r="G116" t="str">
        <f t="shared" si="9"/>
        <v/>
      </c>
      <c r="H116" t="str">
        <f t="shared" si="13"/>
        <v/>
      </c>
      <c r="I116" t="str">
        <f t="shared" si="14"/>
        <v/>
      </c>
      <c r="K116" t="str">
        <f t="shared" si="10"/>
        <v/>
      </c>
      <c r="L116" t="str">
        <f t="shared" si="11"/>
        <v/>
      </c>
      <c r="M116" t="str">
        <f t="shared" si="12"/>
        <v/>
      </c>
    </row>
    <row r="117" spans="7:13" x14ac:dyDescent="0.3">
      <c r="G117" t="str">
        <f t="shared" si="9"/>
        <v/>
      </c>
      <c r="H117" t="str">
        <f t="shared" si="13"/>
        <v/>
      </c>
      <c r="I117" t="str">
        <f t="shared" si="14"/>
        <v/>
      </c>
      <c r="K117" t="str">
        <f t="shared" si="10"/>
        <v/>
      </c>
      <c r="L117" t="str">
        <f t="shared" si="11"/>
        <v/>
      </c>
      <c r="M117" t="str">
        <f t="shared" si="12"/>
        <v/>
      </c>
    </row>
    <row r="118" spans="7:13" x14ac:dyDescent="0.3">
      <c r="G118" t="str">
        <f t="shared" si="9"/>
        <v/>
      </c>
      <c r="H118" t="str">
        <f t="shared" si="13"/>
        <v/>
      </c>
      <c r="I118" t="str">
        <f t="shared" si="14"/>
        <v/>
      </c>
      <c r="K118" t="str">
        <f t="shared" si="10"/>
        <v/>
      </c>
      <c r="L118" t="str">
        <f t="shared" si="11"/>
        <v/>
      </c>
      <c r="M118" t="str">
        <f t="shared" si="12"/>
        <v/>
      </c>
    </row>
    <row r="119" spans="7:13" x14ac:dyDescent="0.3">
      <c r="G119" t="str">
        <f t="shared" si="9"/>
        <v/>
      </c>
      <c r="H119" t="str">
        <f t="shared" si="13"/>
        <v/>
      </c>
      <c r="I119" t="str">
        <f t="shared" si="14"/>
        <v/>
      </c>
      <c r="K119" t="str">
        <f t="shared" si="10"/>
        <v/>
      </c>
      <c r="L119" t="str">
        <f t="shared" si="11"/>
        <v/>
      </c>
      <c r="M119" t="str">
        <f t="shared" si="12"/>
        <v/>
      </c>
    </row>
    <row r="120" spans="7:13" x14ac:dyDescent="0.3">
      <c r="G120" t="str">
        <f t="shared" si="9"/>
        <v/>
      </c>
      <c r="H120" t="str">
        <f t="shared" si="13"/>
        <v/>
      </c>
      <c r="I120" t="str">
        <f t="shared" si="14"/>
        <v/>
      </c>
      <c r="K120" t="str">
        <f t="shared" si="10"/>
        <v/>
      </c>
      <c r="L120" t="str">
        <f t="shared" si="11"/>
        <v/>
      </c>
      <c r="M120" t="str">
        <f t="shared" si="12"/>
        <v/>
      </c>
    </row>
    <row r="121" spans="7:13" x14ac:dyDescent="0.3">
      <c r="G121" t="str">
        <f t="shared" si="9"/>
        <v/>
      </c>
      <c r="H121" t="str">
        <f t="shared" si="13"/>
        <v/>
      </c>
      <c r="I121" t="str">
        <f t="shared" si="14"/>
        <v/>
      </c>
      <c r="K121" t="str">
        <f t="shared" si="10"/>
        <v/>
      </c>
      <c r="L121" t="str">
        <f t="shared" si="11"/>
        <v/>
      </c>
      <c r="M121" t="str">
        <f t="shared" si="12"/>
        <v/>
      </c>
    </row>
    <row r="122" spans="7:13" x14ac:dyDescent="0.3">
      <c r="G122" t="str">
        <f t="shared" si="9"/>
        <v/>
      </c>
      <c r="H122" t="str">
        <f t="shared" si="13"/>
        <v/>
      </c>
      <c r="I122" t="str">
        <f t="shared" si="14"/>
        <v/>
      </c>
      <c r="K122" t="str">
        <f t="shared" si="10"/>
        <v/>
      </c>
      <c r="L122" t="str">
        <f t="shared" si="11"/>
        <v/>
      </c>
      <c r="M122" t="str">
        <f t="shared" si="12"/>
        <v/>
      </c>
    </row>
    <row r="123" spans="7:13" x14ac:dyDescent="0.3">
      <c r="G123" t="str">
        <f t="shared" si="9"/>
        <v/>
      </c>
      <c r="H123" t="str">
        <f t="shared" si="13"/>
        <v/>
      </c>
      <c r="I123" t="str">
        <f t="shared" si="14"/>
        <v/>
      </c>
      <c r="K123" t="str">
        <f t="shared" si="10"/>
        <v/>
      </c>
      <c r="L123" t="str">
        <f t="shared" si="11"/>
        <v/>
      </c>
      <c r="M123" t="str">
        <f t="shared" si="12"/>
        <v/>
      </c>
    </row>
    <row r="124" spans="7:13" x14ac:dyDescent="0.3">
      <c r="G124" t="str">
        <f t="shared" si="9"/>
        <v/>
      </c>
      <c r="H124" t="str">
        <f t="shared" si="13"/>
        <v/>
      </c>
      <c r="I124" t="str">
        <f t="shared" si="14"/>
        <v/>
      </c>
      <c r="K124" t="str">
        <f t="shared" si="10"/>
        <v/>
      </c>
      <c r="L124" t="str">
        <f t="shared" si="11"/>
        <v/>
      </c>
      <c r="M124" t="str">
        <f t="shared" si="12"/>
        <v/>
      </c>
    </row>
    <row r="125" spans="7:13" x14ac:dyDescent="0.3">
      <c r="G125" t="str">
        <f t="shared" si="9"/>
        <v/>
      </c>
      <c r="H125" t="str">
        <f t="shared" si="13"/>
        <v/>
      </c>
      <c r="I125" t="str">
        <f t="shared" si="14"/>
        <v/>
      </c>
      <c r="K125" t="str">
        <f t="shared" si="10"/>
        <v/>
      </c>
      <c r="L125" t="str">
        <f t="shared" si="11"/>
        <v/>
      </c>
      <c r="M125" t="str">
        <f t="shared" si="12"/>
        <v/>
      </c>
    </row>
    <row r="126" spans="7:13" x14ac:dyDescent="0.3">
      <c r="G126" t="str">
        <f t="shared" si="9"/>
        <v/>
      </c>
      <c r="H126" t="str">
        <f t="shared" si="13"/>
        <v/>
      </c>
      <c r="I126" t="str">
        <f t="shared" si="14"/>
        <v/>
      </c>
      <c r="K126" t="str">
        <f t="shared" si="10"/>
        <v/>
      </c>
      <c r="L126" t="str">
        <f t="shared" si="11"/>
        <v/>
      </c>
      <c r="M126" t="str">
        <f t="shared" si="12"/>
        <v/>
      </c>
    </row>
    <row r="127" spans="7:13" x14ac:dyDescent="0.3">
      <c r="G127" t="str">
        <f t="shared" si="9"/>
        <v/>
      </c>
      <c r="H127" t="str">
        <f t="shared" si="13"/>
        <v/>
      </c>
      <c r="I127" t="str">
        <f t="shared" si="14"/>
        <v/>
      </c>
      <c r="K127" t="str">
        <f t="shared" si="10"/>
        <v/>
      </c>
      <c r="L127" t="str">
        <f t="shared" si="11"/>
        <v/>
      </c>
      <c r="M127" t="str">
        <f t="shared" si="12"/>
        <v/>
      </c>
    </row>
    <row r="128" spans="7:13" x14ac:dyDescent="0.3">
      <c r="G128" t="str">
        <f t="shared" si="9"/>
        <v/>
      </c>
      <c r="H128" t="str">
        <f t="shared" si="13"/>
        <v/>
      </c>
      <c r="I128" t="str">
        <f t="shared" si="14"/>
        <v/>
      </c>
      <c r="K128" t="str">
        <f t="shared" si="10"/>
        <v/>
      </c>
      <c r="L128" t="str">
        <f t="shared" si="11"/>
        <v/>
      </c>
      <c r="M128" t="str">
        <f t="shared" si="12"/>
        <v/>
      </c>
    </row>
    <row r="129" spans="7:13" x14ac:dyDescent="0.3">
      <c r="G129" t="str">
        <f t="shared" si="9"/>
        <v/>
      </c>
      <c r="H129" t="str">
        <f t="shared" si="13"/>
        <v/>
      </c>
      <c r="I129" t="str">
        <f t="shared" si="14"/>
        <v/>
      </c>
      <c r="K129" t="str">
        <f t="shared" si="10"/>
        <v/>
      </c>
      <c r="L129" t="str">
        <f t="shared" si="11"/>
        <v/>
      </c>
      <c r="M129" t="str">
        <f t="shared" si="12"/>
        <v/>
      </c>
    </row>
    <row r="130" spans="7:13" x14ac:dyDescent="0.3">
      <c r="G130" t="str">
        <f t="shared" si="9"/>
        <v/>
      </c>
      <c r="H130" t="str">
        <f t="shared" si="13"/>
        <v/>
      </c>
      <c r="I130" t="str">
        <f t="shared" si="14"/>
        <v/>
      </c>
      <c r="K130" t="str">
        <f t="shared" si="10"/>
        <v/>
      </c>
      <c r="L130" t="str">
        <f t="shared" si="11"/>
        <v/>
      </c>
      <c r="M130" t="str">
        <f t="shared" si="12"/>
        <v/>
      </c>
    </row>
    <row r="131" spans="7:13" x14ac:dyDescent="0.3">
      <c r="G131" t="str">
        <f t="shared" si="9"/>
        <v/>
      </c>
      <c r="H131" t="str">
        <f t="shared" si="13"/>
        <v/>
      </c>
      <c r="I131" t="str">
        <f t="shared" si="14"/>
        <v/>
      </c>
      <c r="K131" t="str">
        <f t="shared" si="10"/>
        <v/>
      </c>
      <c r="L131" t="str">
        <f t="shared" si="11"/>
        <v/>
      </c>
      <c r="M131" t="str">
        <f t="shared" si="12"/>
        <v/>
      </c>
    </row>
    <row r="132" spans="7:13" x14ac:dyDescent="0.3">
      <c r="G132" t="str">
        <f t="shared" si="9"/>
        <v/>
      </c>
      <c r="H132" t="str">
        <f t="shared" si="13"/>
        <v/>
      </c>
      <c r="I132" t="str">
        <f t="shared" si="14"/>
        <v/>
      </c>
      <c r="K132" t="str">
        <f t="shared" si="10"/>
        <v/>
      </c>
      <c r="L132" t="str">
        <f t="shared" si="11"/>
        <v/>
      </c>
      <c r="M132" t="str">
        <f t="shared" si="12"/>
        <v/>
      </c>
    </row>
    <row r="133" spans="7:13" x14ac:dyDescent="0.3">
      <c r="G133" t="str">
        <f t="shared" ref="G133:G196" si="15">IF(A133="","",A133)</f>
        <v/>
      </c>
      <c r="H133" t="str">
        <f t="shared" si="13"/>
        <v/>
      </c>
      <c r="I133" t="str">
        <f t="shared" si="14"/>
        <v/>
      </c>
      <c r="K133" t="str">
        <f t="shared" si="10"/>
        <v/>
      </c>
      <c r="L133" t="str">
        <f t="shared" si="11"/>
        <v/>
      </c>
      <c r="M133" t="str">
        <f t="shared" si="12"/>
        <v/>
      </c>
    </row>
    <row r="134" spans="7:13" x14ac:dyDescent="0.3">
      <c r="G134" t="str">
        <f t="shared" si="15"/>
        <v/>
      </c>
      <c r="H134" t="str">
        <f t="shared" si="13"/>
        <v/>
      </c>
      <c r="I134" t="str">
        <f t="shared" si="14"/>
        <v/>
      </c>
      <c r="K134" t="str">
        <f t="shared" ref="K134:K197" si="16">IF(A133="","",A133)</f>
        <v/>
      </c>
      <c r="L134" t="str">
        <f t="shared" ref="L134:L197" si="17">IF(B133="","",B133)</f>
        <v/>
      </c>
      <c r="M134" t="str">
        <f t="shared" ref="M134:M197" si="18">IF(C133="","",C133)</f>
        <v/>
      </c>
    </row>
    <row r="135" spans="7:13" x14ac:dyDescent="0.3">
      <c r="G135" t="str">
        <f t="shared" si="15"/>
        <v/>
      </c>
      <c r="H135" t="str">
        <f t="shared" si="13"/>
        <v/>
      </c>
      <c r="I135" t="str">
        <f t="shared" si="14"/>
        <v/>
      </c>
      <c r="K135" t="str">
        <f t="shared" si="16"/>
        <v/>
      </c>
      <c r="L135" t="str">
        <f t="shared" si="17"/>
        <v/>
      </c>
      <c r="M135" t="str">
        <f t="shared" si="18"/>
        <v/>
      </c>
    </row>
    <row r="136" spans="7:13" x14ac:dyDescent="0.3">
      <c r="G136" t="str">
        <f t="shared" si="15"/>
        <v/>
      </c>
      <c r="H136" t="str">
        <f t="shared" si="13"/>
        <v/>
      </c>
      <c r="I136" t="str">
        <f t="shared" si="14"/>
        <v/>
      </c>
      <c r="K136" t="str">
        <f t="shared" si="16"/>
        <v/>
      </c>
      <c r="L136" t="str">
        <f t="shared" si="17"/>
        <v/>
      </c>
      <c r="M136" t="str">
        <f t="shared" si="18"/>
        <v/>
      </c>
    </row>
    <row r="137" spans="7:13" x14ac:dyDescent="0.3">
      <c r="G137" t="str">
        <f t="shared" si="15"/>
        <v/>
      </c>
      <c r="H137" t="str">
        <f t="shared" si="13"/>
        <v/>
      </c>
      <c r="I137" t="str">
        <f t="shared" si="14"/>
        <v/>
      </c>
      <c r="K137" t="str">
        <f t="shared" si="16"/>
        <v/>
      </c>
      <c r="L137" t="str">
        <f t="shared" si="17"/>
        <v/>
      </c>
      <c r="M137" t="str">
        <f t="shared" si="18"/>
        <v/>
      </c>
    </row>
    <row r="138" spans="7:13" x14ac:dyDescent="0.3">
      <c r="G138" t="str">
        <f t="shared" si="15"/>
        <v/>
      </c>
      <c r="H138" t="str">
        <f t="shared" si="13"/>
        <v/>
      </c>
      <c r="I138" t="str">
        <f t="shared" si="14"/>
        <v/>
      </c>
      <c r="K138" t="str">
        <f t="shared" si="16"/>
        <v/>
      </c>
      <c r="L138" t="str">
        <f t="shared" si="17"/>
        <v/>
      </c>
      <c r="M138" t="str">
        <f t="shared" si="18"/>
        <v/>
      </c>
    </row>
    <row r="139" spans="7:13" x14ac:dyDescent="0.3">
      <c r="G139" t="str">
        <f t="shared" si="15"/>
        <v/>
      </c>
      <c r="H139" t="str">
        <f t="shared" si="13"/>
        <v/>
      </c>
      <c r="I139" t="str">
        <f t="shared" si="14"/>
        <v/>
      </c>
      <c r="K139" t="str">
        <f t="shared" si="16"/>
        <v/>
      </c>
      <c r="L139" t="str">
        <f t="shared" si="17"/>
        <v/>
      </c>
      <c r="M139" t="str">
        <f t="shared" si="18"/>
        <v/>
      </c>
    </row>
    <row r="140" spans="7:13" x14ac:dyDescent="0.3">
      <c r="G140" t="str">
        <f t="shared" si="15"/>
        <v/>
      </c>
      <c r="H140" t="str">
        <f t="shared" si="13"/>
        <v/>
      </c>
      <c r="I140" t="str">
        <f t="shared" si="14"/>
        <v/>
      </c>
      <c r="K140" t="str">
        <f t="shared" si="16"/>
        <v/>
      </c>
      <c r="L140" t="str">
        <f t="shared" si="17"/>
        <v/>
      </c>
      <c r="M140" t="str">
        <f t="shared" si="18"/>
        <v/>
      </c>
    </row>
    <row r="141" spans="7:13" x14ac:dyDescent="0.3">
      <c r="G141" t="str">
        <f t="shared" si="15"/>
        <v/>
      </c>
      <c r="H141" t="str">
        <f t="shared" si="13"/>
        <v/>
      </c>
      <c r="I141" t="str">
        <f t="shared" si="14"/>
        <v/>
      </c>
      <c r="K141" t="str">
        <f t="shared" si="16"/>
        <v/>
      </c>
      <c r="L141" t="str">
        <f t="shared" si="17"/>
        <v/>
      </c>
      <c r="M141" t="str">
        <f t="shared" si="18"/>
        <v/>
      </c>
    </row>
    <row r="142" spans="7:13" x14ac:dyDescent="0.3">
      <c r="G142" t="str">
        <f t="shared" si="15"/>
        <v/>
      </c>
      <c r="H142" t="str">
        <f t="shared" si="13"/>
        <v/>
      </c>
      <c r="I142" t="str">
        <f t="shared" si="14"/>
        <v/>
      </c>
      <c r="K142" t="str">
        <f t="shared" si="16"/>
        <v/>
      </c>
      <c r="L142" t="str">
        <f t="shared" si="17"/>
        <v/>
      </c>
      <c r="M142" t="str">
        <f t="shared" si="18"/>
        <v/>
      </c>
    </row>
    <row r="143" spans="7:13" x14ac:dyDescent="0.3">
      <c r="G143" t="str">
        <f t="shared" si="15"/>
        <v/>
      </c>
      <c r="H143" t="str">
        <f t="shared" si="13"/>
        <v/>
      </c>
      <c r="I143" t="str">
        <f t="shared" si="14"/>
        <v/>
      </c>
      <c r="K143" t="str">
        <f t="shared" si="16"/>
        <v/>
      </c>
      <c r="L143" t="str">
        <f t="shared" si="17"/>
        <v/>
      </c>
      <c r="M143" t="str">
        <f t="shared" si="18"/>
        <v/>
      </c>
    </row>
    <row r="144" spans="7:13" x14ac:dyDescent="0.3">
      <c r="G144" t="str">
        <f t="shared" si="15"/>
        <v/>
      </c>
      <c r="H144" t="str">
        <f t="shared" si="13"/>
        <v/>
      </c>
      <c r="I144" t="str">
        <f t="shared" si="14"/>
        <v/>
      </c>
      <c r="K144" t="str">
        <f t="shared" si="16"/>
        <v/>
      </c>
      <c r="L144" t="str">
        <f t="shared" si="17"/>
        <v/>
      </c>
      <c r="M144" t="str">
        <f t="shared" si="18"/>
        <v/>
      </c>
    </row>
    <row r="145" spans="7:13" x14ac:dyDescent="0.3">
      <c r="G145" t="str">
        <f t="shared" si="15"/>
        <v/>
      </c>
      <c r="H145" t="str">
        <f t="shared" si="13"/>
        <v/>
      </c>
      <c r="I145" t="str">
        <f t="shared" si="14"/>
        <v/>
      </c>
      <c r="K145" t="str">
        <f t="shared" si="16"/>
        <v/>
      </c>
      <c r="L145" t="str">
        <f t="shared" si="17"/>
        <v/>
      </c>
      <c r="M145" t="str">
        <f t="shared" si="18"/>
        <v/>
      </c>
    </row>
    <row r="146" spans="7:13" x14ac:dyDescent="0.3">
      <c r="G146" t="str">
        <f t="shared" si="15"/>
        <v/>
      </c>
      <c r="H146" t="str">
        <f t="shared" si="13"/>
        <v/>
      </c>
      <c r="I146" t="str">
        <f t="shared" si="14"/>
        <v/>
      </c>
      <c r="K146" t="str">
        <f t="shared" si="16"/>
        <v/>
      </c>
      <c r="L146" t="str">
        <f t="shared" si="17"/>
        <v/>
      </c>
      <c r="M146" t="str">
        <f t="shared" si="18"/>
        <v/>
      </c>
    </row>
    <row r="147" spans="7:13" x14ac:dyDescent="0.3">
      <c r="G147" t="str">
        <f t="shared" si="15"/>
        <v/>
      </c>
      <c r="H147" t="str">
        <f t="shared" si="13"/>
        <v/>
      </c>
      <c r="I147" t="str">
        <f t="shared" si="14"/>
        <v/>
      </c>
      <c r="K147" t="str">
        <f t="shared" si="16"/>
        <v/>
      </c>
      <c r="L147" t="str">
        <f t="shared" si="17"/>
        <v/>
      </c>
      <c r="M147" t="str">
        <f t="shared" si="18"/>
        <v/>
      </c>
    </row>
    <row r="148" spans="7:13" x14ac:dyDescent="0.3">
      <c r="G148" t="str">
        <f t="shared" si="15"/>
        <v/>
      </c>
      <c r="H148" t="str">
        <f t="shared" ref="H148:H211" si="19">IF(B148="","",B148)</f>
        <v/>
      </c>
      <c r="I148" t="str">
        <f t="shared" ref="I148:I211" si="20">IF(C148="","",C148)</f>
        <v/>
      </c>
      <c r="K148" t="str">
        <f t="shared" si="16"/>
        <v/>
      </c>
      <c r="L148" t="str">
        <f t="shared" si="17"/>
        <v/>
      </c>
      <c r="M148" t="str">
        <f t="shared" si="18"/>
        <v/>
      </c>
    </row>
    <row r="149" spans="7:13" x14ac:dyDescent="0.3">
      <c r="G149" t="str">
        <f t="shared" si="15"/>
        <v/>
      </c>
      <c r="H149" t="str">
        <f t="shared" si="19"/>
        <v/>
      </c>
      <c r="I149" t="str">
        <f t="shared" si="20"/>
        <v/>
      </c>
      <c r="K149" t="str">
        <f t="shared" si="16"/>
        <v/>
      </c>
      <c r="L149" t="str">
        <f t="shared" si="17"/>
        <v/>
      </c>
      <c r="M149" t="str">
        <f t="shared" si="18"/>
        <v/>
      </c>
    </row>
    <row r="150" spans="7:13" x14ac:dyDescent="0.3">
      <c r="G150" t="str">
        <f t="shared" si="15"/>
        <v/>
      </c>
      <c r="H150" t="str">
        <f t="shared" si="19"/>
        <v/>
      </c>
      <c r="I150" t="str">
        <f t="shared" si="20"/>
        <v/>
      </c>
      <c r="K150" t="str">
        <f t="shared" si="16"/>
        <v/>
      </c>
      <c r="L150" t="str">
        <f t="shared" si="17"/>
        <v/>
      </c>
      <c r="M150" t="str">
        <f t="shared" si="18"/>
        <v/>
      </c>
    </row>
    <row r="151" spans="7:13" x14ac:dyDescent="0.3">
      <c r="G151" t="str">
        <f t="shared" si="15"/>
        <v/>
      </c>
      <c r="H151" t="str">
        <f t="shared" si="19"/>
        <v/>
      </c>
      <c r="I151" t="str">
        <f t="shared" si="20"/>
        <v/>
      </c>
      <c r="K151" t="str">
        <f t="shared" si="16"/>
        <v/>
      </c>
      <c r="L151" t="str">
        <f t="shared" si="17"/>
        <v/>
      </c>
      <c r="M151" t="str">
        <f t="shared" si="18"/>
        <v/>
      </c>
    </row>
    <row r="152" spans="7:13" x14ac:dyDescent="0.3">
      <c r="G152" t="str">
        <f t="shared" si="15"/>
        <v/>
      </c>
      <c r="H152" t="str">
        <f t="shared" si="19"/>
        <v/>
      </c>
      <c r="I152" t="str">
        <f t="shared" si="20"/>
        <v/>
      </c>
      <c r="K152" t="str">
        <f t="shared" si="16"/>
        <v/>
      </c>
      <c r="L152" t="str">
        <f t="shared" si="17"/>
        <v/>
      </c>
      <c r="M152" t="str">
        <f t="shared" si="18"/>
        <v/>
      </c>
    </row>
    <row r="153" spans="7:13" x14ac:dyDescent="0.3">
      <c r="G153" t="str">
        <f t="shared" si="15"/>
        <v/>
      </c>
      <c r="H153" t="str">
        <f t="shared" si="19"/>
        <v/>
      </c>
      <c r="I153" t="str">
        <f t="shared" si="20"/>
        <v/>
      </c>
      <c r="K153" t="str">
        <f t="shared" si="16"/>
        <v/>
      </c>
      <c r="L153" t="str">
        <f t="shared" si="17"/>
        <v/>
      </c>
      <c r="M153" t="str">
        <f t="shared" si="18"/>
        <v/>
      </c>
    </row>
    <row r="154" spans="7:13" x14ac:dyDescent="0.3">
      <c r="G154" t="str">
        <f t="shared" si="15"/>
        <v/>
      </c>
      <c r="H154" t="str">
        <f t="shared" si="19"/>
        <v/>
      </c>
      <c r="I154" t="str">
        <f t="shared" si="20"/>
        <v/>
      </c>
      <c r="K154" t="str">
        <f t="shared" si="16"/>
        <v/>
      </c>
      <c r="L154" t="str">
        <f t="shared" si="17"/>
        <v/>
      </c>
      <c r="M154" t="str">
        <f t="shared" si="18"/>
        <v/>
      </c>
    </row>
    <row r="155" spans="7:13" x14ac:dyDescent="0.3">
      <c r="G155" t="str">
        <f t="shared" si="15"/>
        <v/>
      </c>
      <c r="H155" t="str">
        <f t="shared" si="19"/>
        <v/>
      </c>
      <c r="I155" t="str">
        <f t="shared" si="20"/>
        <v/>
      </c>
      <c r="K155" t="str">
        <f t="shared" si="16"/>
        <v/>
      </c>
      <c r="L155" t="str">
        <f t="shared" si="17"/>
        <v/>
      </c>
      <c r="M155" t="str">
        <f t="shared" si="18"/>
        <v/>
      </c>
    </row>
    <row r="156" spans="7:13" x14ac:dyDescent="0.3">
      <c r="G156" t="str">
        <f t="shared" si="15"/>
        <v/>
      </c>
      <c r="H156" t="str">
        <f t="shared" si="19"/>
        <v/>
      </c>
      <c r="I156" t="str">
        <f t="shared" si="20"/>
        <v/>
      </c>
      <c r="K156" t="str">
        <f t="shared" si="16"/>
        <v/>
      </c>
      <c r="L156" t="str">
        <f t="shared" si="17"/>
        <v/>
      </c>
      <c r="M156" t="str">
        <f t="shared" si="18"/>
        <v/>
      </c>
    </row>
    <row r="157" spans="7:13" x14ac:dyDescent="0.3">
      <c r="G157" t="str">
        <f t="shared" si="15"/>
        <v/>
      </c>
      <c r="H157" t="str">
        <f t="shared" si="19"/>
        <v/>
      </c>
      <c r="I157" t="str">
        <f t="shared" si="20"/>
        <v/>
      </c>
      <c r="K157" t="str">
        <f t="shared" si="16"/>
        <v/>
      </c>
      <c r="L157" t="str">
        <f t="shared" si="17"/>
        <v/>
      </c>
      <c r="M157" t="str">
        <f t="shared" si="18"/>
        <v/>
      </c>
    </row>
    <row r="158" spans="7:13" x14ac:dyDescent="0.3">
      <c r="G158" t="str">
        <f t="shared" si="15"/>
        <v/>
      </c>
      <c r="H158" t="str">
        <f t="shared" si="19"/>
        <v/>
      </c>
      <c r="I158" t="str">
        <f t="shared" si="20"/>
        <v/>
      </c>
      <c r="K158" t="str">
        <f t="shared" si="16"/>
        <v/>
      </c>
      <c r="L158" t="str">
        <f t="shared" si="17"/>
        <v/>
      </c>
      <c r="M158" t="str">
        <f t="shared" si="18"/>
        <v/>
      </c>
    </row>
    <row r="159" spans="7:13" x14ac:dyDescent="0.3">
      <c r="G159" t="str">
        <f t="shared" si="15"/>
        <v/>
      </c>
      <c r="H159" t="str">
        <f t="shared" si="19"/>
        <v/>
      </c>
      <c r="I159" t="str">
        <f t="shared" si="20"/>
        <v/>
      </c>
      <c r="K159" t="str">
        <f t="shared" si="16"/>
        <v/>
      </c>
      <c r="L159" t="str">
        <f t="shared" si="17"/>
        <v/>
      </c>
      <c r="M159" t="str">
        <f t="shared" si="18"/>
        <v/>
      </c>
    </row>
    <row r="160" spans="7:13" x14ac:dyDescent="0.3">
      <c r="G160" t="str">
        <f t="shared" si="15"/>
        <v/>
      </c>
      <c r="H160" t="str">
        <f t="shared" si="19"/>
        <v/>
      </c>
      <c r="I160" t="str">
        <f t="shared" si="20"/>
        <v/>
      </c>
      <c r="K160" t="str">
        <f t="shared" si="16"/>
        <v/>
      </c>
      <c r="L160" t="str">
        <f t="shared" si="17"/>
        <v/>
      </c>
      <c r="M160" t="str">
        <f t="shared" si="18"/>
        <v/>
      </c>
    </row>
    <row r="161" spans="7:13" x14ac:dyDescent="0.3">
      <c r="G161" t="str">
        <f t="shared" si="15"/>
        <v/>
      </c>
      <c r="H161" t="str">
        <f t="shared" si="19"/>
        <v/>
      </c>
      <c r="I161" t="str">
        <f t="shared" si="20"/>
        <v/>
      </c>
      <c r="K161" t="str">
        <f t="shared" si="16"/>
        <v/>
      </c>
      <c r="L161" t="str">
        <f t="shared" si="17"/>
        <v/>
      </c>
      <c r="M161" t="str">
        <f t="shared" si="18"/>
        <v/>
      </c>
    </row>
    <row r="162" spans="7:13" x14ac:dyDescent="0.3">
      <c r="G162" t="str">
        <f t="shared" si="15"/>
        <v/>
      </c>
      <c r="H162" t="str">
        <f t="shared" si="19"/>
        <v/>
      </c>
      <c r="I162" t="str">
        <f t="shared" si="20"/>
        <v/>
      </c>
      <c r="K162" t="str">
        <f t="shared" si="16"/>
        <v/>
      </c>
      <c r="L162" t="str">
        <f t="shared" si="17"/>
        <v/>
      </c>
      <c r="M162" t="str">
        <f t="shared" si="18"/>
        <v/>
      </c>
    </row>
    <row r="163" spans="7:13" x14ac:dyDescent="0.3">
      <c r="G163" t="str">
        <f t="shared" si="15"/>
        <v/>
      </c>
      <c r="H163" t="str">
        <f t="shared" si="19"/>
        <v/>
      </c>
      <c r="I163" t="str">
        <f t="shared" si="20"/>
        <v/>
      </c>
      <c r="K163" t="str">
        <f t="shared" si="16"/>
        <v/>
      </c>
      <c r="L163" t="str">
        <f t="shared" si="17"/>
        <v/>
      </c>
      <c r="M163" t="str">
        <f t="shared" si="18"/>
        <v/>
      </c>
    </row>
    <row r="164" spans="7:13" x14ac:dyDescent="0.3">
      <c r="G164" t="str">
        <f t="shared" si="15"/>
        <v/>
      </c>
      <c r="H164" t="str">
        <f t="shared" si="19"/>
        <v/>
      </c>
      <c r="I164" t="str">
        <f t="shared" si="20"/>
        <v/>
      </c>
      <c r="K164" t="str">
        <f t="shared" si="16"/>
        <v/>
      </c>
      <c r="L164" t="str">
        <f t="shared" si="17"/>
        <v/>
      </c>
      <c r="M164" t="str">
        <f t="shared" si="18"/>
        <v/>
      </c>
    </row>
    <row r="165" spans="7:13" x14ac:dyDescent="0.3">
      <c r="G165" t="str">
        <f t="shared" si="15"/>
        <v/>
      </c>
      <c r="H165" t="str">
        <f t="shared" si="19"/>
        <v/>
      </c>
      <c r="I165" t="str">
        <f t="shared" si="20"/>
        <v/>
      </c>
      <c r="K165" t="str">
        <f t="shared" si="16"/>
        <v/>
      </c>
      <c r="L165" t="str">
        <f t="shared" si="17"/>
        <v/>
      </c>
      <c r="M165" t="str">
        <f t="shared" si="18"/>
        <v/>
      </c>
    </row>
    <row r="166" spans="7:13" x14ac:dyDescent="0.3">
      <c r="G166" t="str">
        <f t="shared" si="15"/>
        <v/>
      </c>
      <c r="H166" t="str">
        <f t="shared" si="19"/>
        <v/>
      </c>
      <c r="I166" t="str">
        <f t="shared" si="20"/>
        <v/>
      </c>
      <c r="K166" t="str">
        <f t="shared" si="16"/>
        <v/>
      </c>
      <c r="L166" t="str">
        <f t="shared" si="17"/>
        <v/>
      </c>
      <c r="M166" t="str">
        <f t="shared" si="18"/>
        <v/>
      </c>
    </row>
    <row r="167" spans="7:13" x14ac:dyDescent="0.3">
      <c r="G167" t="str">
        <f t="shared" si="15"/>
        <v/>
      </c>
      <c r="H167" t="str">
        <f t="shared" si="19"/>
        <v/>
      </c>
      <c r="I167" t="str">
        <f t="shared" si="20"/>
        <v/>
      </c>
      <c r="K167" t="str">
        <f t="shared" si="16"/>
        <v/>
      </c>
      <c r="L167" t="str">
        <f t="shared" si="17"/>
        <v/>
      </c>
      <c r="M167" t="str">
        <f t="shared" si="18"/>
        <v/>
      </c>
    </row>
    <row r="168" spans="7:13" x14ac:dyDescent="0.3">
      <c r="G168" t="str">
        <f t="shared" si="15"/>
        <v/>
      </c>
      <c r="H168" t="str">
        <f t="shared" si="19"/>
        <v/>
      </c>
      <c r="I168" t="str">
        <f t="shared" si="20"/>
        <v/>
      </c>
      <c r="K168" t="str">
        <f t="shared" si="16"/>
        <v/>
      </c>
      <c r="L168" t="str">
        <f t="shared" si="17"/>
        <v/>
      </c>
      <c r="M168" t="str">
        <f t="shared" si="18"/>
        <v/>
      </c>
    </row>
    <row r="169" spans="7:13" x14ac:dyDescent="0.3">
      <c r="G169" t="str">
        <f t="shared" si="15"/>
        <v/>
      </c>
      <c r="H169" t="str">
        <f t="shared" si="19"/>
        <v/>
      </c>
      <c r="I169" t="str">
        <f t="shared" si="20"/>
        <v/>
      </c>
      <c r="K169" t="str">
        <f t="shared" si="16"/>
        <v/>
      </c>
      <c r="L169" t="str">
        <f t="shared" si="17"/>
        <v/>
      </c>
      <c r="M169" t="str">
        <f t="shared" si="18"/>
        <v/>
      </c>
    </row>
    <row r="170" spans="7:13" x14ac:dyDescent="0.3">
      <c r="G170" t="str">
        <f t="shared" si="15"/>
        <v/>
      </c>
      <c r="H170" t="str">
        <f t="shared" si="19"/>
        <v/>
      </c>
      <c r="I170" t="str">
        <f t="shared" si="20"/>
        <v/>
      </c>
      <c r="K170" t="str">
        <f t="shared" si="16"/>
        <v/>
      </c>
      <c r="L170" t="str">
        <f t="shared" si="17"/>
        <v/>
      </c>
      <c r="M170" t="str">
        <f t="shared" si="18"/>
        <v/>
      </c>
    </row>
    <row r="171" spans="7:13" x14ac:dyDescent="0.3">
      <c r="G171" t="str">
        <f t="shared" si="15"/>
        <v/>
      </c>
      <c r="H171" t="str">
        <f t="shared" si="19"/>
        <v/>
      </c>
      <c r="I171" t="str">
        <f t="shared" si="20"/>
        <v/>
      </c>
      <c r="K171" t="str">
        <f t="shared" si="16"/>
        <v/>
      </c>
      <c r="L171" t="str">
        <f t="shared" si="17"/>
        <v/>
      </c>
      <c r="M171" t="str">
        <f t="shared" si="18"/>
        <v/>
      </c>
    </row>
    <row r="172" spans="7:13" x14ac:dyDescent="0.3">
      <c r="G172" t="str">
        <f t="shared" si="15"/>
        <v/>
      </c>
      <c r="H172" t="str">
        <f t="shared" si="19"/>
        <v/>
      </c>
      <c r="I172" t="str">
        <f t="shared" si="20"/>
        <v/>
      </c>
      <c r="K172" t="str">
        <f t="shared" si="16"/>
        <v/>
      </c>
      <c r="L172" t="str">
        <f t="shared" si="17"/>
        <v/>
      </c>
      <c r="M172" t="str">
        <f t="shared" si="18"/>
        <v/>
      </c>
    </row>
    <row r="173" spans="7:13" x14ac:dyDescent="0.3">
      <c r="G173" t="str">
        <f t="shared" si="15"/>
        <v/>
      </c>
      <c r="H173" t="str">
        <f t="shared" si="19"/>
        <v/>
      </c>
      <c r="I173" t="str">
        <f t="shared" si="20"/>
        <v/>
      </c>
      <c r="K173" t="str">
        <f t="shared" si="16"/>
        <v/>
      </c>
      <c r="L173" t="str">
        <f t="shared" si="17"/>
        <v/>
      </c>
      <c r="M173" t="str">
        <f t="shared" si="18"/>
        <v/>
      </c>
    </row>
    <row r="174" spans="7:13" x14ac:dyDescent="0.3">
      <c r="G174" t="str">
        <f t="shared" si="15"/>
        <v/>
      </c>
      <c r="H174" t="str">
        <f t="shared" si="19"/>
        <v/>
      </c>
      <c r="I174" t="str">
        <f t="shared" si="20"/>
        <v/>
      </c>
      <c r="K174" t="str">
        <f t="shared" si="16"/>
        <v/>
      </c>
      <c r="L174" t="str">
        <f t="shared" si="17"/>
        <v/>
      </c>
      <c r="M174" t="str">
        <f t="shared" si="18"/>
        <v/>
      </c>
    </row>
    <row r="175" spans="7:13" x14ac:dyDescent="0.3">
      <c r="G175" t="str">
        <f t="shared" si="15"/>
        <v/>
      </c>
      <c r="H175" t="str">
        <f t="shared" si="19"/>
        <v/>
      </c>
      <c r="I175" t="str">
        <f t="shared" si="20"/>
        <v/>
      </c>
      <c r="K175" t="str">
        <f t="shared" si="16"/>
        <v/>
      </c>
      <c r="L175" t="str">
        <f t="shared" si="17"/>
        <v/>
      </c>
      <c r="M175" t="str">
        <f t="shared" si="18"/>
        <v/>
      </c>
    </row>
    <row r="176" spans="7:13" x14ac:dyDescent="0.3">
      <c r="G176" t="str">
        <f t="shared" si="15"/>
        <v/>
      </c>
      <c r="H176" t="str">
        <f t="shared" si="19"/>
        <v/>
      </c>
      <c r="I176" t="str">
        <f t="shared" si="20"/>
        <v/>
      </c>
      <c r="K176" t="str">
        <f t="shared" si="16"/>
        <v/>
      </c>
      <c r="L176" t="str">
        <f t="shared" si="17"/>
        <v/>
      </c>
      <c r="M176" t="str">
        <f t="shared" si="18"/>
        <v/>
      </c>
    </row>
    <row r="177" spans="7:13" x14ac:dyDescent="0.3">
      <c r="G177" t="str">
        <f t="shared" si="15"/>
        <v/>
      </c>
      <c r="H177" t="str">
        <f t="shared" si="19"/>
        <v/>
      </c>
      <c r="I177" t="str">
        <f t="shared" si="20"/>
        <v/>
      </c>
      <c r="K177" t="str">
        <f t="shared" si="16"/>
        <v/>
      </c>
      <c r="L177" t="str">
        <f t="shared" si="17"/>
        <v/>
      </c>
      <c r="M177" t="str">
        <f t="shared" si="18"/>
        <v/>
      </c>
    </row>
    <row r="178" spans="7:13" x14ac:dyDescent="0.3">
      <c r="G178" t="str">
        <f t="shared" si="15"/>
        <v/>
      </c>
      <c r="H178" t="str">
        <f t="shared" si="19"/>
        <v/>
      </c>
      <c r="I178" t="str">
        <f t="shared" si="20"/>
        <v/>
      </c>
      <c r="K178" t="str">
        <f t="shared" si="16"/>
        <v/>
      </c>
      <c r="L178" t="str">
        <f t="shared" si="17"/>
        <v/>
      </c>
      <c r="M178" t="str">
        <f t="shared" si="18"/>
        <v/>
      </c>
    </row>
    <row r="179" spans="7:13" x14ac:dyDescent="0.3">
      <c r="G179" t="str">
        <f t="shared" si="15"/>
        <v/>
      </c>
      <c r="H179" t="str">
        <f t="shared" si="19"/>
        <v/>
      </c>
      <c r="I179" t="str">
        <f t="shared" si="20"/>
        <v/>
      </c>
      <c r="K179" t="str">
        <f t="shared" si="16"/>
        <v/>
      </c>
      <c r="L179" t="str">
        <f t="shared" si="17"/>
        <v/>
      </c>
      <c r="M179" t="str">
        <f t="shared" si="18"/>
        <v/>
      </c>
    </row>
    <row r="180" spans="7:13" x14ac:dyDescent="0.3">
      <c r="G180" t="str">
        <f t="shared" si="15"/>
        <v/>
      </c>
      <c r="H180" t="str">
        <f t="shared" si="19"/>
        <v/>
      </c>
      <c r="I180" t="str">
        <f t="shared" si="20"/>
        <v/>
      </c>
      <c r="K180" t="str">
        <f t="shared" si="16"/>
        <v/>
      </c>
      <c r="L180" t="str">
        <f t="shared" si="17"/>
        <v/>
      </c>
      <c r="M180" t="str">
        <f t="shared" si="18"/>
        <v/>
      </c>
    </row>
    <row r="181" spans="7:13" x14ac:dyDescent="0.3">
      <c r="G181" t="str">
        <f t="shared" si="15"/>
        <v/>
      </c>
      <c r="H181" t="str">
        <f t="shared" si="19"/>
        <v/>
      </c>
      <c r="I181" t="str">
        <f t="shared" si="20"/>
        <v/>
      </c>
      <c r="K181" t="str">
        <f t="shared" si="16"/>
        <v/>
      </c>
      <c r="L181" t="str">
        <f t="shared" si="17"/>
        <v/>
      </c>
      <c r="M181" t="str">
        <f t="shared" si="18"/>
        <v/>
      </c>
    </row>
    <row r="182" spans="7:13" x14ac:dyDescent="0.3">
      <c r="G182" t="str">
        <f t="shared" si="15"/>
        <v/>
      </c>
      <c r="H182" t="str">
        <f t="shared" si="19"/>
        <v/>
      </c>
      <c r="I182" t="str">
        <f t="shared" si="20"/>
        <v/>
      </c>
      <c r="K182" t="str">
        <f t="shared" si="16"/>
        <v/>
      </c>
      <c r="L182" t="str">
        <f t="shared" si="17"/>
        <v/>
      </c>
      <c r="M182" t="str">
        <f t="shared" si="18"/>
        <v/>
      </c>
    </row>
    <row r="183" spans="7:13" x14ac:dyDescent="0.3">
      <c r="G183" t="str">
        <f t="shared" si="15"/>
        <v/>
      </c>
      <c r="H183" t="str">
        <f t="shared" si="19"/>
        <v/>
      </c>
      <c r="I183" t="str">
        <f t="shared" si="20"/>
        <v/>
      </c>
      <c r="K183" t="str">
        <f t="shared" si="16"/>
        <v/>
      </c>
      <c r="L183" t="str">
        <f t="shared" si="17"/>
        <v/>
      </c>
      <c r="M183" t="str">
        <f t="shared" si="18"/>
        <v/>
      </c>
    </row>
    <row r="184" spans="7:13" x14ac:dyDescent="0.3">
      <c r="G184" t="str">
        <f t="shared" si="15"/>
        <v/>
      </c>
      <c r="H184" t="str">
        <f t="shared" si="19"/>
        <v/>
      </c>
      <c r="I184" t="str">
        <f t="shared" si="20"/>
        <v/>
      </c>
      <c r="K184" t="str">
        <f t="shared" si="16"/>
        <v/>
      </c>
      <c r="L184" t="str">
        <f t="shared" si="17"/>
        <v/>
      </c>
      <c r="M184" t="str">
        <f t="shared" si="18"/>
        <v/>
      </c>
    </row>
    <row r="185" spans="7:13" x14ac:dyDescent="0.3">
      <c r="G185" t="str">
        <f t="shared" si="15"/>
        <v/>
      </c>
      <c r="H185" t="str">
        <f t="shared" si="19"/>
        <v/>
      </c>
      <c r="I185" t="str">
        <f t="shared" si="20"/>
        <v/>
      </c>
      <c r="K185" t="str">
        <f t="shared" si="16"/>
        <v/>
      </c>
      <c r="L185" t="str">
        <f t="shared" si="17"/>
        <v/>
      </c>
      <c r="M185" t="str">
        <f t="shared" si="18"/>
        <v/>
      </c>
    </row>
    <row r="186" spans="7:13" x14ac:dyDescent="0.3">
      <c r="G186" t="str">
        <f t="shared" si="15"/>
        <v/>
      </c>
      <c r="H186" t="str">
        <f t="shared" si="19"/>
        <v/>
      </c>
      <c r="I186" t="str">
        <f t="shared" si="20"/>
        <v/>
      </c>
      <c r="K186" t="str">
        <f t="shared" si="16"/>
        <v/>
      </c>
      <c r="L186" t="str">
        <f t="shared" si="17"/>
        <v/>
      </c>
      <c r="M186" t="str">
        <f t="shared" si="18"/>
        <v/>
      </c>
    </row>
    <row r="187" spans="7:13" x14ac:dyDescent="0.3">
      <c r="G187" t="str">
        <f t="shared" si="15"/>
        <v/>
      </c>
      <c r="H187" t="str">
        <f t="shared" si="19"/>
        <v/>
      </c>
      <c r="I187" t="str">
        <f t="shared" si="20"/>
        <v/>
      </c>
      <c r="K187" t="str">
        <f t="shared" si="16"/>
        <v/>
      </c>
      <c r="L187" t="str">
        <f t="shared" si="17"/>
        <v/>
      </c>
      <c r="M187" t="str">
        <f t="shared" si="18"/>
        <v/>
      </c>
    </row>
    <row r="188" spans="7:13" x14ac:dyDescent="0.3">
      <c r="G188" t="str">
        <f t="shared" si="15"/>
        <v/>
      </c>
      <c r="H188" t="str">
        <f t="shared" si="19"/>
        <v/>
      </c>
      <c r="I188" t="str">
        <f t="shared" si="20"/>
        <v/>
      </c>
      <c r="K188" t="str">
        <f t="shared" si="16"/>
        <v/>
      </c>
      <c r="L188" t="str">
        <f t="shared" si="17"/>
        <v/>
      </c>
      <c r="M188" t="str">
        <f t="shared" si="18"/>
        <v/>
      </c>
    </row>
    <row r="189" spans="7:13" x14ac:dyDescent="0.3">
      <c r="G189" t="str">
        <f t="shared" si="15"/>
        <v/>
      </c>
      <c r="H189" t="str">
        <f t="shared" si="19"/>
        <v/>
      </c>
      <c r="I189" t="str">
        <f t="shared" si="20"/>
        <v/>
      </c>
      <c r="K189" t="str">
        <f t="shared" si="16"/>
        <v/>
      </c>
      <c r="L189" t="str">
        <f t="shared" si="17"/>
        <v/>
      </c>
      <c r="M189" t="str">
        <f t="shared" si="18"/>
        <v/>
      </c>
    </row>
    <row r="190" spans="7:13" x14ac:dyDescent="0.3">
      <c r="G190" t="str">
        <f t="shared" si="15"/>
        <v/>
      </c>
      <c r="H190" t="str">
        <f t="shared" si="19"/>
        <v/>
      </c>
      <c r="I190" t="str">
        <f t="shared" si="20"/>
        <v/>
      </c>
      <c r="K190" t="str">
        <f t="shared" si="16"/>
        <v/>
      </c>
      <c r="L190" t="str">
        <f t="shared" si="17"/>
        <v/>
      </c>
      <c r="M190" t="str">
        <f t="shared" si="18"/>
        <v/>
      </c>
    </row>
    <row r="191" spans="7:13" x14ac:dyDescent="0.3">
      <c r="G191" t="str">
        <f t="shared" si="15"/>
        <v/>
      </c>
      <c r="H191" t="str">
        <f t="shared" si="19"/>
        <v/>
      </c>
      <c r="I191" t="str">
        <f t="shared" si="20"/>
        <v/>
      </c>
      <c r="K191" t="str">
        <f t="shared" si="16"/>
        <v/>
      </c>
      <c r="L191" t="str">
        <f t="shared" si="17"/>
        <v/>
      </c>
      <c r="M191" t="str">
        <f t="shared" si="18"/>
        <v/>
      </c>
    </row>
    <row r="192" spans="7:13" x14ac:dyDescent="0.3">
      <c r="G192" t="str">
        <f t="shared" si="15"/>
        <v/>
      </c>
      <c r="H192" t="str">
        <f t="shared" si="19"/>
        <v/>
      </c>
      <c r="I192" t="str">
        <f t="shared" si="20"/>
        <v/>
      </c>
      <c r="K192" t="str">
        <f t="shared" si="16"/>
        <v/>
      </c>
      <c r="L192" t="str">
        <f t="shared" si="17"/>
        <v/>
      </c>
      <c r="M192" t="str">
        <f t="shared" si="18"/>
        <v/>
      </c>
    </row>
    <row r="193" spans="7:13" x14ac:dyDescent="0.3">
      <c r="G193" t="str">
        <f t="shared" si="15"/>
        <v/>
      </c>
      <c r="H193" t="str">
        <f t="shared" si="19"/>
        <v/>
      </c>
      <c r="I193" t="str">
        <f t="shared" si="20"/>
        <v/>
      </c>
      <c r="K193" t="str">
        <f t="shared" si="16"/>
        <v/>
      </c>
      <c r="L193" t="str">
        <f t="shared" si="17"/>
        <v/>
      </c>
      <c r="M193" t="str">
        <f t="shared" si="18"/>
        <v/>
      </c>
    </row>
    <row r="194" spans="7:13" x14ac:dyDescent="0.3">
      <c r="G194" t="str">
        <f t="shared" si="15"/>
        <v/>
      </c>
      <c r="H194" t="str">
        <f t="shared" si="19"/>
        <v/>
      </c>
      <c r="I194" t="str">
        <f t="shared" si="20"/>
        <v/>
      </c>
      <c r="K194" t="str">
        <f t="shared" si="16"/>
        <v/>
      </c>
      <c r="L194" t="str">
        <f t="shared" si="17"/>
        <v/>
      </c>
      <c r="M194" t="str">
        <f t="shared" si="18"/>
        <v/>
      </c>
    </row>
    <row r="195" spans="7:13" x14ac:dyDescent="0.3">
      <c r="G195" t="str">
        <f t="shared" si="15"/>
        <v/>
      </c>
      <c r="H195" t="str">
        <f t="shared" si="19"/>
        <v/>
      </c>
      <c r="I195" t="str">
        <f t="shared" si="20"/>
        <v/>
      </c>
      <c r="K195" t="str">
        <f t="shared" si="16"/>
        <v/>
      </c>
      <c r="L195" t="str">
        <f t="shared" si="17"/>
        <v/>
      </c>
      <c r="M195" t="str">
        <f t="shared" si="18"/>
        <v/>
      </c>
    </row>
    <row r="196" spans="7:13" x14ac:dyDescent="0.3">
      <c r="G196" t="str">
        <f t="shared" si="15"/>
        <v/>
      </c>
      <c r="H196" t="str">
        <f t="shared" si="19"/>
        <v/>
      </c>
      <c r="I196" t="str">
        <f t="shared" si="20"/>
        <v/>
      </c>
      <c r="K196" t="str">
        <f t="shared" si="16"/>
        <v/>
      </c>
      <c r="L196" t="str">
        <f t="shared" si="17"/>
        <v/>
      </c>
      <c r="M196" t="str">
        <f t="shared" si="18"/>
        <v/>
      </c>
    </row>
    <row r="197" spans="7:13" x14ac:dyDescent="0.3">
      <c r="G197" t="str">
        <f t="shared" ref="G197:G234" si="21">IF(A197="","",A197)</f>
        <v/>
      </c>
      <c r="H197" t="str">
        <f t="shared" si="19"/>
        <v/>
      </c>
      <c r="I197" t="str">
        <f t="shared" si="20"/>
        <v/>
      </c>
      <c r="K197" t="str">
        <f t="shared" si="16"/>
        <v/>
      </c>
      <c r="L197" t="str">
        <f t="shared" si="17"/>
        <v/>
      </c>
      <c r="M197" t="str">
        <f t="shared" si="18"/>
        <v/>
      </c>
    </row>
    <row r="198" spans="7:13" x14ac:dyDescent="0.3">
      <c r="G198" t="str">
        <f t="shared" si="21"/>
        <v/>
      </c>
      <c r="H198" t="str">
        <f t="shared" si="19"/>
        <v/>
      </c>
      <c r="I198" t="str">
        <f t="shared" si="20"/>
        <v/>
      </c>
      <c r="K198" t="str">
        <f t="shared" ref="K198:K232" si="22">IF(A197="","",A197)</f>
        <v/>
      </c>
      <c r="L198" t="str">
        <f t="shared" ref="L198:L232" si="23">IF(B197="","",B197)</f>
        <v/>
      </c>
      <c r="M198" t="str">
        <f t="shared" ref="M198:M232" si="24">IF(C197="","",C197)</f>
        <v/>
      </c>
    </row>
    <row r="199" spans="7:13" x14ac:dyDescent="0.3">
      <c r="G199" t="str">
        <f t="shared" si="21"/>
        <v/>
      </c>
      <c r="H199" t="str">
        <f t="shared" si="19"/>
        <v/>
      </c>
      <c r="I199" t="str">
        <f t="shared" si="20"/>
        <v/>
      </c>
      <c r="K199" t="str">
        <f t="shared" si="22"/>
        <v/>
      </c>
      <c r="L199" t="str">
        <f t="shared" si="23"/>
        <v/>
      </c>
      <c r="M199" t="str">
        <f t="shared" si="24"/>
        <v/>
      </c>
    </row>
    <row r="200" spans="7:13" x14ac:dyDescent="0.3">
      <c r="G200" t="str">
        <f t="shared" si="21"/>
        <v/>
      </c>
      <c r="H200" t="str">
        <f t="shared" si="19"/>
        <v/>
      </c>
      <c r="I200" t="str">
        <f t="shared" si="20"/>
        <v/>
      </c>
      <c r="K200" t="str">
        <f t="shared" si="22"/>
        <v/>
      </c>
      <c r="L200" t="str">
        <f t="shared" si="23"/>
        <v/>
      </c>
      <c r="M200" t="str">
        <f t="shared" si="24"/>
        <v/>
      </c>
    </row>
    <row r="201" spans="7:13" x14ac:dyDescent="0.3">
      <c r="G201" t="str">
        <f t="shared" si="21"/>
        <v/>
      </c>
      <c r="H201" t="str">
        <f t="shared" si="19"/>
        <v/>
      </c>
      <c r="I201" t="str">
        <f t="shared" si="20"/>
        <v/>
      </c>
      <c r="K201" t="str">
        <f t="shared" si="22"/>
        <v/>
      </c>
      <c r="L201" t="str">
        <f t="shared" si="23"/>
        <v/>
      </c>
      <c r="M201" t="str">
        <f t="shared" si="24"/>
        <v/>
      </c>
    </row>
    <row r="202" spans="7:13" x14ac:dyDescent="0.3">
      <c r="G202" t="str">
        <f t="shared" si="21"/>
        <v/>
      </c>
      <c r="H202" t="str">
        <f t="shared" si="19"/>
        <v/>
      </c>
      <c r="I202" t="str">
        <f t="shared" si="20"/>
        <v/>
      </c>
      <c r="K202" t="str">
        <f t="shared" si="22"/>
        <v/>
      </c>
      <c r="L202" t="str">
        <f t="shared" si="23"/>
        <v/>
      </c>
      <c r="M202" t="str">
        <f t="shared" si="24"/>
        <v/>
      </c>
    </row>
    <row r="203" spans="7:13" x14ac:dyDescent="0.3">
      <c r="G203" t="str">
        <f t="shared" si="21"/>
        <v/>
      </c>
      <c r="H203" t="str">
        <f t="shared" si="19"/>
        <v/>
      </c>
      <c r="I203" t="str">
        <f t="shared" si="20"/>
        <v/>
      </c>
      <c r="K203" t="str">
        <f t="shared" si="22"/>
        <v/>
      </c>
      <c r="L203" t="str">
        <f t="shared" si="23"/>
        <v/>
      </c>
      <c r="M203" t="str">
        <f t="shared" si="24"/>
        <v/>
      </c>
    </row>
    <row r="204" spans="7:13" x14ac:dyDescent="0.3">
      <c r="G204" t="str">
        <f t="shared" si="21"/>
        <v/>
      </c>
      <c r="H204" t="str">
        <f t="shared" si="19"/>
        <v/>
      </c>
      <c r="I204" t="str">
        <f t="shared" si="20"/>
        <v/>
      </c>
      <c r="K204" t="str">
        <f t="shared" si="22"/>
        <v/>
      </c>
      <c r="L204" t="str">
        <f t="shared" si="23"/>
        <v/>
      </c>
      <c r="M204" t="str">
        <f t="shared" si="24"/>
        <v/>
      </c>
    </row>
    <row r="205" spans="7:13" x14ac:dyDescent="0.3">
      <c r="G205" t="str">
        <f t="shared" si="21"/>
        <v/>
      </c>
      <c r="H205" t="str">
        <f t="shared" si="19"/>
        <v/>
      </c>
      <c r="I205" t="str">
        <f t="shared" si="20"/>
        <v/>
      </c>
      <c r="K205" t="str">
        <f t="shared" si="22"/>
        <v/>
      </c>
      <c r="L205" t="str">
        <f t="shared" si="23"/>
        <v/>
      </c>
      <c r="M205" t="str">
        <f t="shared" si="24"/>
        <v/>
      </c>
    </row>
    <row r="206" spans="7:13" x14ac:dyDescent="0.3">
      <c r="G206" t="str">
        <f t="shared" si="21"/>
        <v/>
      </c>
      <c r="H206" t="str">
        <f t="shared" si="19"/>
        <v/>
      </c>
      <c r="I206" t="str">
        <f t="shared" si="20"/>
        <v/>
      </c>
      <c r="K206" t="str">
        <f t="shared" si="22"/>
        <v/>
      </c>
      <c r="L206" t="str">
        <f t="shared" si="23"/>
        <v/>
      </c>
      <c r="M206" t="str">
        <f t="shared" si="24"/>
        <v/>
      </c>
    </row>
    <row r="207" spans="7:13" x14ac:dyDescent="0.3">
      <c r="G207" t="str">
        <f t="shared" si="21"/>
        <v/>
      </c>
      <c r="H207" t="str">
        <f t="shared" si="19"/>
        <v/>
      </c>
      <c r="I207" t="str">
        <f t="shared" si="20"/>
        <v/>
      </c>
      <c r="K207" t="str">
        <f t="shared" si="22"/>
        <v/>
      </c>
      <c r="L207" t="str">
        <f t="shared" si="23"/>
        <v/>
      </c>
      <c r="M207" t="str">
        <f t="shared" si="24"/>
        <v/>
      </c>
    </row>
    <row r="208" spans="7:13" x14ac:dyDescent="0.3">
      <c r="G208" t="str">
        <f t="shared" si="21"/>
        <v/>
      </c>
      <c r="H208" t="str">
        <f t="shared" si="19"/>
        <v/>
      </c>
      <c r="I208" t="str">
        <f t="shared" si="20"/>
        <v/>
      </c>
      <c r="K208" t="str">
        <f t="shared" si="22"/>
        <v/>
      </c>
      <c r="L208" t="str">
        <f t="shared" si="23"/>
        <v/>
      </c>
      <c r="M208" t="str">
        <f t="shared" si="24"/>
        <v/>
      </c>
    </row>
    <row r="209" spans="7:13" x14ac:dyDescent="0.3">
      <c r="G209" t="str">
        <f t="shared" si="21"/>
        <v/>
      </c>
      <c r="H209" t="str">
        <f t="shared" si="19"/>
        <v/>
      </c>
      <c r="I209" t="str">
        <f t="shared" si="20"/>
        <v/>
      </c>
      <c r="K209" t="str">
        <f t="shared" si="22"/>
        <v/>
      </c>
      <c r="L209" t="str">
        <f t="shared" si="23"/>
        <v/>
      </c>
      <c r="M209" t="str">
        <f t="shared" si="24"/>
        <v/>
      </c>
    </row>
    <row r="210" spans="7:13" x14ac:dyDescent="0.3">
      <c r="G210" t="str">
        <f t="shared" si="21"/>
        <v/>
      </c>
      <c r="H210" t="str">
        <f t="shared" si="19"/>
        <v/>
      </c>
      <c r="I210" t="str">
        <f t="shared" si="20"/>
        <v/>
      </c>
      <c r="K210" t="str">
        <f t="shared" si="22"/>
        <v/>
      </c>
      <c r="L210" t="str">
        <f t="shared" si="23"/>
        <v/>
      </c>
      <c r="M210" t="str">
        <f t="shared" si="24"/>
        <v/>
      </c>
    </row>
    <row r="211" spans="7:13" x14ac:dyDescent="0.3">
      <c r="G211" t="str">
        <f t="shared" si="21"/>
        <v/>
      </c>
      <c r="H211" t="str">
        <f t="shared" si="19"/>
        <v/>
      </c>
      <c r="I211" t="str">
        <f t="shared" si="20"/>
        <v/>
      </c>
      <c r="K211" t="str">
        <f t="shared" si="22"/>
        <v/>
      </c>
      <c r="L211" t="str">
        <f t="shared" si="23"/>
        <v/>
      </c>
      <c r="M211" t="str">
        <f t="shared" si="24"/>
        <v/>
      </c>
    </row>
    <row r="212" spans="7:13" x14ac:dyDescent="0.3">
      <c r="G212" t="str">
        <f t="shared" si="21"/>
        <v/>
      </c>
      <c r="H212" t="str">
        <f t="shared" ref="H212:H234" si="25">IF(B212="","",B212)</f>
        <v/>
      </c>
      <c r="I212" t="str">
        <f t="shared" ref="I212:I234" si="26">IF(C212="","",C212)</f>
        <v/>
      </c>
      <c r="K212" t="str">
        <f t="shared" si="22"/>
        <v/>
      </c>
      <c r="L212" t="str">
        <f t="shared" si="23"/>
        <v/>
      </c>
      <c r="M212" t="str">
        <f t="shared" si="24"/>
        <v/>
      </c>
    </row>
    <row r="213" spans="7:13" x14ac:dyDescent="0.3">
      <c r="G213" t="str">
        <f t="shared" si="21"/>
        <v/>
      </c>
      <c r="H213" t="str">
        <f t="shared" si="25"/>
        <v/>
      </c>
      <c r="I213" t="str">
        <f t="shared" si="26"/>
        <v/>
      </c>
      <c r="K213" t="str">
        <f t="shared" si="22"/>
        <v/>
      </c>
      <c r="L213" t="str">
        <f t="shared" si="23"/>
        <v/>
      </c>
      <c r="M213" t="str">
        <f t="shared" si="24"/>
        <v/>
      </c>
    </row>
    <row r="214" spans="7:13" x14ac:dyDescent="0.3">
      <c r="G214" t="str">
        <f t="shared" si="21"/>
        <v/>
      </c>
      <c r="H214" t="str">
        <f t="shared" si="25"/>
        <v/>
      </c>
      <c r="I214" t="str">
        <f t="shared" si="26"/>
        <v/>
      </c>
      <c r="K214" t="str">
        <f t="shared" si="22"/>
        <v/>
      </c>
      <c r="L214" t="str">
        <f t="shared" si="23"/>
        <v/>
      </c>
      <c r="M214" t="str">
        <f t="shared" si="24"/>
        <v/>
      </c>
    </row>
    <row r="215" spans="7:13" x14ac:dyDescent="0.3">
      <c r="G215" t="str">
        <f t="shared" si="21"/>
        <v/>
      </c>
      <c r="H215" t="str">
        <f t="shared" si="25"/>
        <v/>
      </c>
      <c r="I215" t="str">
        <f t="shared" si="26"/>
        <v/>
      </c>
      <c r="K215" t="str">
        <f t="shared" si="22"/>
        <v/>
      </c>
      <c r="L215" t="str">
        <f t="shared" si="23"/>
        <v/>
      </c>
      <c r="M215" t="str">
        <f t="shared" si="24"/>
        <v/>
      </c>
    </row>
    <row r="216" spans="7:13" x14ac:dyDescent="0.3">
      <c r="G216" t="str">
        <f t="shared" si="21"/>
        <v/>
      </c>
      <c r="H216" t="str">
        <f t="shared" si="25"/>
        <v/>
      </c>
      <c r="I216" t="str">
        <f t="shared" si="26"/>
        <v/>
      </c>
      <c r="K216" t="str">
        <f t="shared" si="22"/>
        <v/>
      </c>
      <c r="L216" t="str">
        <f t="shared" si="23"/>
        <v/>
      </c>
      <c r="M216" t="str">
        <f t="shared" si="24"/>
        <v/>
      </c>
    </row>
    <row r="217" spans="7:13" x14ac:dyDescent="0.3">
      <c r="G217" t="str">
        <f t="shared" si="21"/>
        <v/>
      </c>
      <c r="H217" t="str">
        <f t="shared" si="25"/>
        <v/>
      </c>
      <c r="I217" t="str">
        <f t="shared" si="26"/>
        <v/>
      </c>
      <c r="K217" t="str">
        <f t="shared" si="22"/>
        <v/>
      </c>
      <c r="L217" t="str">
        <f t="shared" si="23"/>
        <v/>
      </c>
      <c r="M217" t="str">
        <f t="shared" si="24"/>
        <v/>
      </c>
    </row>
    <row r="218" spans="7:13" x14ac:dyDescent="0.3">
      <c r="G218" t="str">
        <f t="shared" si="21"/>
        <v/>
      </c>
      <c r="H218" t="str">
        <f t="shared" si="25"/>
        <v/>
      </c>
      <c r="I218" t="str">
        <f t="shared" si="26"/>
        <v/>
      </c>
      <c r="K218" t="str">
        <f t="shared" si="22"/>
        <v/>
      </c>
      <c r="L218" t="str">
        <f t="shared" si="23"/>
        <v/>
      </c>
      <c r="M218" t="str">
        <f t="shared" si="24"/>
        <v/>
      </c>
    </row>
    <row r="219" spans="7:13" x14ac:dyDescent="0.3">
      <c r="G219" t="str">
        <f t="shared" si="21"/>
        <v/>
      </c>
      <c r="H219" t="str">
        <f t="shared" si="25"/>
        <v/>
      </c>
      <c r="I219" t="str">
        <f t="shared" si="26"/>
        <v/>
      </c>
      <c r="K219" t="str">
        <f t="shared" si="22"/>
        <v/>
      </c>
      <c r="L219" t="str">
        <f t="shared" si="23"/>
        <v/>
      </c>
      <c r="M219" t="str">
        <f t="shared" si="24"/>
        <v/>
      </c>
    </row>
    <row r="220" spans="7:13" x14ac:dyDescent="0.3">
      <c r="G220" t="str">
        <f t="shared" si="21"/>
        <v/>
      </c>
      <c r="H220" t="str">
        <f t="shared" si="25"/>
        <v/>
      </c>
      <c r="I220" t="str">
        <f t="shared" si="26"/>
        <v/>
      </c>
      <c r="K220" t="str">
        <f t="shared" si="22"/>
        <v/>
      </c>
      <c r="L220" t="str">
        <f t="shared" si="23"/>
        <v/>
      </c>
      <c r="M220" t="str">
        <f t="shared" si="24"/>
        <v/>
      </c>
    </row>
    <row r="221" spans="7:13" x14ac:dyDescent="0.3">
      <c r="G221" t="str">
        <f t="shared" si="21"/>
        <v/>
      </c>
      <c r="H221" t="str">
        <f t="shared" si="25"/>
        <v/>
      </c>
      <c r="I221" t="str">
        <f t="shared" si="26"/>
        <v/>
      </c>
      <c r="K221" t="str">
        <f t="shared" si="22"/>
        <v/>
      </c>
      <c r="L221" t="str">
        <f t="shared" si="23"/>
        <v/>
      </c>
      <c r="M221" t="str">
        <f t="shared" si="24"/>
        <v/>
      </c>
    </row>
    <row r="222" spans="7:13" x14ac:dyDescent="0.3">
      <c r="G222" t="str">
        <f t="shared" si="21"/>
        <v/>
      </c>
      <c r="H222" t="str">
        <f t="shared" si="25"/>
        <v/>
      </c>
      <c r="I222" t="str">
        <f t="shared" si="26"/>
        <v/>
      </c>
      <c r="K222" t="str">
        <f t="shared" si="22"/>
        <v/>
      </c>
      <c r="L222" t="str">
        <f t="shared" si="23"/>
        <v/>
      </c>
      <c r="M222" t="str">
        <f t="shared" si="24"/>
        <v/>
      </c>
    </row>
    <row r="223" spans="7:13" x14ac:dyDescent="0.3">
      <c r="G223" t="str">
        <f t="shared" si="21"/>
        <v/>
      </c>
      <c r="H223" t="str">
        <f t="shared" si="25"/>
        <v/>
      </c>
      <c r="I223" t="str">
        <f t="shared" si="26"/>
        <v/>
      </c>
      <c r="K223" t="str">
        <f t="shared" si="22"/>
        <v/>
      </c>
      <c r="L223" t="str">
        <f t="shared" si="23"/>
        <v/>
      </c>
      <c r="M223" t="str">
        <f t="shared" si="24"/>
        <v/>
      </c>
    </row>
    <row r="224" spans="7:13" x14ac:dyDescent="0.3">
      <c r="G224" t="str">
        <f t="shared" si="21"/>
        <v/>
      </c>
      <c r="H224" t="str">
        <f t="shared" si="25"/>
        <v/>
      </c>
      <c r="I224" t="str">
        <f t="shared" si="26"/>
        <v/>
      </c>
      <c r="K224" t="str">
        <f t="shared" si="22"/>
        <v/>
      </c>
      <c r="L224" t="str">
        <f t="shared" si="23"/>
        <v/>
      </c>
      <c r="M224" t="str">
        <f t="shared" si="24"/>
        <v/>
      </c>
    </row>
    <row r="225" spans="7:13" x14ac:dyDescent="0.3">
      <c r="G225" t="str">
        <f t="shared" si="21"/>
        <v/>
      </c>
      <c r="H225" t="str">
        <f t="shared" si="25"/>
        <v/>
      </c>
      <c r="I225" t="str">
        <f t="shared" si="26"/>
        <v/>
      </c>
      <c r="K225" t="str">
        <f t="shared" si="22"/>
        <v/>
      </c>
      <c r="L225" t="str">
        <f t="shared" si="23"/>
        <v/>
      </c>
      <c r="M225" t="str">
        <f t="shared" si="24"/>
        <v/>
      </c>
    </row>
    <row r="226" spans="7:13" x14ac:dyDescent="0.3">
      <c r="G226" t="str">
        <f t="shared" si="21"/>
        <v/>
      </c>
      <c r="H226" t="str">
        <f t="shared" si="25"/>
        <v/>
      </c>
      <c r="I226" t="str">
        <f t="shared" si="26"/>
        <v/>
      </c>
      <c r="K226" t="str">
        <f t="shared" si="22"/>
        <v/>
      </c>
      <c r="L226" t="str">
        <f t="shared" si="23"/>
        <v/>
      </c>
      <c r="M226" t="str">
        <f t="shared" si="24"/>
        <v/>
      </c>
    </row>
    <row r="227" spans="7:13" x14ac:dyDescent="0.3">
      <c r="G227" t="str">
        <f t="shared" si="21"/>
        <v/>
      </c>
      <c r="H227" t="str">
        <f t="shared" si="25"/>
        <v/>
      </c>
      <c r="I227" t="str">
        <f t="shared" si="26"/>
        <v/>
      </c>
      <c r="K227" t="str">
        <f t="shared" si="22"/>
        <v/>
      </c>
      <c r="L227" t="str">
        <f t="shared" si="23"/>
        <v/>
      </c>
      <c r="M227" t="str">
        <f t="shared" si="24"/>
        <v/>
      </c>
    </row>
    <row r="228" spans="7:13" x14ac:dyDescent="0.3">
      <c r="G228" t="str">
        <f t="shared" si="21"/>
        <v/>
      </c>
      <c r="H228" t="str">
        <f t="shared" si="25"/>
        <v/>
      </c>
      <c r="I228" t="str">
        <f t="shared" si="26"/>
        <v/>
      </c>
      <c r="K228" t="str">
        <f t="shared" si="22"/>
        <v/>
      </c>
      <c r="L228" t="str">
        <f t="shared" si="23"/>
        <v/>
      </c>
      <c r="M228" t="str">
        <f t="shared" si="24"/>
        <v/>
      </c>
    </row>
    <row r="229" spans="7:13" x14ac:dyDescent="0.3">
      <c r="G229" t="str">
        <f t="shared" si="21"/>
        <v/>
      </c>
      <c r="H229" t="str">
        <f t="shared" si="25"/>
        <v/>
      </c>
      <c r="I229" t="str">
        <f t="shared" si="26"/>
        <v/>
      </c>
      <c r="K229" t="str">
        <f t="shared" si="22"/>
        <v/>
      </c>
      <c r="L229" t="str">
        <f t="shared" si="23"/>
        <v/>
      </c>
      <c r="M229" t="str">
        <f t="shared" si="24"/>
        <v/>
      </c>
    </row>
    <row r="230" spans="7:13" x14ac:dyDescent="0.3">
      <c r="G230" t="str">
        <f t="shared" si="21"/>
        <v/>
      </c>
      <c r="H230" t="str">
        <f t="shared" si="25"/>
        <v/>
      </c>
      <c r="I230" t="str">
        <f t="shared" si="26"/>
        <v/>
      </c>
      <c r="K230" t="str">
        <f t="shared" si="22"/>
        <v/>
      </c>
      <c r="L230" t="str">
        <f t="shared" si="23"/>
        <v/>
      </c>
      <c r="M230" t="str">
        <f t="shared" si="24"/>
        <v/>
      </c>
    </row>
    <row r="231" spans="7:13" x14ac:dyDescent="0.3">
      <c r="G231" t="str">
        <f t="shared" si="21"/>
        <v/>
      </c>
      <c r="H231" t="str">
        <f t="shared" si="25"/>
        <v/>
      </c>
      <c r="I231" t="str">
        <f t="shared" si="26"/>
        <v/>
      </c>
      <c r="K231" t="str">
        <f t="shared" si="22"/>
        <v/>
      </c>
      <c r="L231" t="str">
        <f t="shared" si="23"/>
        <v/>
      </c>
      <c r="M231" t="str">
        <f t="shared" si="24"/>
        <v/>
      </c>
    </row>
    <row r="232" spans="7:13" x14ac:dyDescent="0.3">
      <c r="G232" t="str">
        <f t="shared" si="21"/>
        <v/>
      </c>
      <c r="H232" t="str">
        <f t="shared" si="25"/>
        <v/>
      </c>
      <c r="I232" t="str">
        <f t="shared" si="26"/>
        <v/>
      </c>
      <c r="K232" t="str">
        <f t="shared" si="22"/>
        <v/>
      </c>
      <c r="L232" t="str">
        <f t="shared" si="23"/>
        <v/>
      </c>
      <c r="M232" t="str">
        <f t="shared" si="24"/>
        <v/>
      </c>
    </row>
    <row r="233" spans="7:13" x14ac:dyDescent="0.3">
      <c r="G233" t="str">
        <f t="shared" si="21"/>
        <v/>
      </c>
      <c r="H233" t="str">
        <f t="shared" si="25"/>
        <v/>
      </c>
      <c r="I233" t="str">
        <f t="shared" si="26"/>
        <v/>
      </c>
    </row>
    <row r="234" spans="7:13" x14ac:dyDescent="0.3">
      <c r="G234" t="str">
        <f t="shared" si="21"/>
        <v/>
      </c>
      <c r="H234" t="str">
        <f t="shared" si="25"/>
        <v/>
      </c>
      <c r="I234" t="str">
        <f t="shared" si="26"/>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1D39-E4F0-4596-B631-71EFC24C69D6}">
  <dimension ref="A2:L19"/>
  <sheetViews>
    <sheetView workbookViewId="0">
      <selection activeCell="F3" sqref="F3"/>
    </sheetView>
  </sheetViews>
  <sheetFormatPr defaultRowHeight="14.4" x14ac:dyDescent="0.3"/>
  <cols>
    <col min="1" max="1" width="12.44140625" bestFit="1" customWidth="1"/>
    <col min="2" max="2" width="12.21875" bestFit="1" customWidth="1"/>
    <col min="6" max="6" width="12.44140625" bestFit="1" customWidth="1"/>
    <col min="7" max="7" width="15.5546875" bestFit="1" customWidth="1"/>
    <col min="8" max="9" width="3" bestFit="1" customWidth="1"/>
    <col min="10" max="11" width="4" bestFit="1" customWidth="1"/>
    <col min="12" max="12" width="10.5546875" bestFit="1" customWidth="1"/>
    <col min="13" max="15" width="8" bestFit="1" customWidth="1"/>
    <col min="16" max="37" width="9" bestFit="1" customWidth="1"/>
    <col min="38" max="46" width="8.44140625" bestFit="1" customWidth="1"/>
    <col min="47" max="65" width="9.44140625" bestFit="1" customWidth="1"/>
    <col min="66" max="74" width="8.44140625" bestFit="1" customWidth="1"/>
    <col min="75" max="94" width="9.44140625" bestFit="1" customWidth="1"/>
    <col min="95" max="95" width="10.5546875" bestFit="1" customWidth="1"/>
  </cols>
  <sheetData>
    <row r="2" spans="1:12" x14ac:dyDescent="0.3">
      <c r="F2" t="s">
        <v>2538</v>
      </c>
    </row>
    <row r="3" spans="1:12" x14ac:dyDescent="0.3">
      <c r="A3" s="5" t="s">
        <v>2519</v>
      </c>
      <c r="B3" t="s">
        <v>2521</v>
      </c>
      <c r="F3" s="5" t="s">
        <v>2521</v>
      </c>
      <c r="G3" s="5" t="s">
        <v>2530</v>
      </c>
    </row>
    <row r="4" spans="1:12" x14ac:dyDescent="0.3">
      <c r="A4" s="6">
        <v>0</v>
      </c>
      <c r="B4" s="7">
        <v>29</v>
      </c>
      <c r="F4" s="5" t="s">
        <v>2519</v>
      </c>
      <c r="G4">
        <v>1</v>
      </c>
      <c r="H4">
        <v>2</v>
      </c>
      <c r="I4">
        <v>3</v>
      </c>
      <c r="J4">
        <v>4</v>
      </c>
      <c r="K4">
        <v>5</v>
      </c>
      <c r="L4" t="s">
        <v>2520</v>
      </c>
    </row>
    <row r="5" spans="1:12" x14ac:dyDescent="0.3">
      <c r="A5" s="6">
        <v>1</v>
      </c>
      <c r="B5" s="7">
        <v>155</v>
      </c>
      <c r="F5" s="6" t="s">
        <v>2539</v>
      </c>
      <c r="G5" s="7">
        <v>2</v>
      </c>
      <c r="H5" s="7">
        <v>5</v>
      </c>
      <c r="I5" s="7">
        <v>22</v>
      </c>
      <c r="J5" s="7">
        <v>54</v>
      </c>
      <c r="K5" s="7">
        <v>48</v>
      </c>
      <c r="L5" s="7">
        <v>131</v>
      </c>
    </row>
    <row r="6" spans="1:12" x14ac:dyDescent="0.3">
      <c r="A6" s="6">
        <v>2</v>
      </c>
      <c r="B6" s="7">
        <v>100</v>
      </c>
      <c r="F6" s="6" t="s">
        <v>2540</v>
      </c>
      <c r="G6" s="7">
        <v>4</v>
      </c>
      <c r="H6" s="7">
        <v>7</v>
      </c>
      <c r="I6" s="7">
        <v>41</v>
      </c>
      <c r="J6" s="7">
        <v>91</v>
      </c>
      <c r="K6" s="7">
        <v>41</v>
      </c>
      <c r="L6" s="7">
        <v>184</v>
      </c>
    </row>
    <row r="7" spans="1:12" x14ac:dyDescent="0.3">
      <c r="A7" s="6">
        <v>3</v>
      </c>
      <c r="B7" s="7">
        <v>67</v>
      </c>
      <c r="F7" s="6" t="s">
        <v>2541</v>
      </c>
      <c r="G7" s="7">
        <v>1</v>
      </c>
      <c r="H7" s="7">
        <v>6</v>
      </c>
      <c r="I7" s="7">
        <v>27</v>
      </c>
      <c r="J7" s="7">
        <v>65</v>
      </c>
      <c r="K7" s="7">
        <v>42</v>
      </c>
      <c r="L7" s="7">
        <v>141</v>
      </c>
    </row>
    <row r="8" spans="1:12" x14ac:dyDescent="0.3">
      <c r="A8" s="6">
        <v>4</v>
      </c>
      <c r="B8" s="7">
        <v>40</v>
      </c>
      <c r="F8" s="6" t="s">
        <v>2520</v>
      </c>
      <c r="G8" s="7">
        <v>7</v>
      </c>
      <c r="H8" s="7">
        <v>18</v>
      </c>
      <c r="I8" s="7">
        <v>90</v>
      </c>
      <c r="J8" s="7">
        <v>210</v>
      </c>
      <c r="K8" s="7">
        <v>131</v>
      </c>
      <c r="L8" s="7">
        <v>456</v>
      </c>
    </row>
    <row r="9" spans="1:12" x14ac:dyDescent="0.3">
      <c r="A9" s="6">
        <v>5</v>
      </c>
      <c r="B9" s="7">
        <v>24</v>
      </c>
    </row>
    <row r="10" spans="1:12" x14ac:dyDescent="0.3">
      <c r="A10" s="6">
        <v>6</v>
      </c>
      <c r="B10" s="7">
        <v>10</v>
      </c>
    </row>
    <row r="11" spans="1:12" x14ac:dyDescent="0.3">
      <c r="A11" s="6">
        <v>7</v>
      </c>
      <c r="B11" s="7">
        <v>4</v>
      </c>
    </row>
    <row r="12" spans="1:12" x14ac:dyDescent="0.3">
      <c r="A12" s="6">
        <v>8</v>
      </c>
      <c r="B12" s="7">
        <v>11</v>
      </c>
    </row>
    <row r="13" spans="1:12" x14ac:dyDescent="0.3">
      <c r="A13" s="6">
        <v>9</v>
      </c>
      <c r="B13" s="7">
        <v>1</v>
      </c>
    </row>
    <row r="14" spans="1:12" x14ac:dyDescent="0.3">
      <c r="A14" s="6">
        <v>10</v>
      </c>
      <c r="B14" s="7">
        <v>1</v>
      </c>
    </row>
    <row r="15" spans="1:12" x14ac:dyDescent="0.3">
      <c r="A15" s="6">
        <v>11</v>
      </c>
      <c r="B15" s="7">
        <v>4</v>
      </c>
    </row>
    <row r="16" spans="1:12" x14ac:dyDescent="0.3">
      <c r="A16" s="6">
        <v>12</v>
      </c>
      <c r="B16" s="7">
        <v>2</v>
      </c>
    </row>
    <row r="17" spans="1:2" x14ac:dyDescent="0.3">
      <c r="A17" s="6">
        <v>13</v>
      </c>
      <c r="B17" s="7">
        <v>3</v>
      </c>
    </row>
    <row r="18" spans="1:2" x14ac:dyDescent="0.3">
      <c r="A18" s="6">
        <v>14</v>
      </c>
      <c r="B18" s="7">
        <v>5</v>
      </c>
    </row>
    <row r="19" spans="1:2" x14ac:dyDescent="0.3">
      <c r="A19" s="6" t="s">
        <v>2520</v>
      </c>
      <c r="B19" s="7">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Questions &amp; KPIs</vt:lpstr>
      <vt:lpstr>Pivots</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Nirasha Nichang</cp:lastModifiedBy>
  <dcterms:created xsi:type="dcterms:W3CDTF">2025-06-13T02:42:26Z</dcterms:created>
  <dcterms:modified xsi:type="dcterms:W3CDTF">2026-01-23T15:05:33Z</dcterms:modified>
</cp:coreProperties>
</file>