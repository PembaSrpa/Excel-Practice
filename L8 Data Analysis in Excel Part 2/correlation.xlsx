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nless\Desktop\Codes\Excel\L8 Data Analysis in Excel Part 2\"/>
    </mc:Choice>
  </mc:AlternateContent>
  <xr:revisionPtr revIDLastSave="0" documentId="13_ncr:1_{9F03DEBE-4C90-468B-A86A-D844781088B3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4" sheetId="4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E25" i="1"/>
  <c r="E24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3" i="1"/>
</calcChain>
</file>

<file path=xl/sharedStrings.xml><?xml version="1.0" encoding="utf-8"?>
<sst xmlns="http://schemas.openxmlformats.org/spreadsheetml/2006/main" count="99" uniqueCount="56">
  <si>
    <t>Movie</t>
  </si>
  <si>
    <t>Spider-Man 3</t>
  </si>
  <si>
    <t>King Kong (2005)</t>
  </si>
  <si>
    <t>Superman Returns</t>
  </si>
  <si>
    <t>Spider-Man 2</t>
  </si>
  <si>
    <t>Titanic</t>
  </si>
  <si>
    <t>Wild Wild West</t>
  </si>
  <si>
    <t>Evan Almighty</t>
  </si>
  <si>
    <t>Waterworld</t>
  </si>
  <si>
    <t>Terminator 3: Rise of the Machines</t>
  </si>
  <si>
    <t>Polar Express, The</t>
  </si>
  <si>
    <t>Van Helsing</t>
  </si>
  <si>
    <t>Shrek the Third</t>
  </si>
  <si>
    <t>Poseidon</t>
  </si>
  <si>
    <t>Alexander</t>
  </si>
  <si>
    <t>Pearl Harbor</t>
  </si>
  <si>
    <t>Harry Potter and the Goblet of Fire</t>
  </si>
  <si>
    <t>Harry Potter and the Order of the Phoenix</t>
  </si>
  <si>
    <t>Mission: Impossible III</t>
  </si>
  <si>
    <t>Troy</t>
  </si>
  <si>
    <t>Budget ($)</t>
  </si>
  <si>
    <t>World Gross ($)</t>
  </si>
  <si>
    <t>Profit</t>
  </si>
  <si>
    <t>Chronicles of Narnia, The</t>
  </si>
  <si>
    <t>Highest</t>
  </si>
  <si>
    <t>Lowest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</si>
  <si>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</si>
  <si>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</si>
  <si>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</si>
  <si>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</si>
  <si>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</si>
  <si>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</si>
  <si>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</si>
  <si>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</si>
  <si>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</si>
  <si>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</si>
  <si>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</si>
  <si>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</si>
  <si>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</si>
  <si>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</si>
  <si>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</si>
  <si>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</si>
  <si>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</si>
  <si>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</si>
  <si>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</si>
  <si>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</si>
  <si>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</si>
  <si>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</si>
  <si>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</si>
  <si>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</si>
  <si>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</si>
  <si>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</si>
  <si>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Profit</t>
  </si>
  <si>
    <t>Residuals</t>
  </si>
  <si>
    <t>PROBABILITY OUTPUT</t>
  </si>
  <si>
    <t>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</si>
</sst>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3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3" fontId="0" fillId="0" borderId="0" xfId="0" applyNumberFormat="1"/>
    <xf numFmtId="3" fontId="0" fillId="0" borderId="5" xfId="0" applyNumberFormat="1" applyBorder="1"/>
    <xf numFmtId="3" fontId="0" fillId="0" borderId="7" xfId="0" applyNumberFormat="1" applyBorder="1"/>
    <xf numFmtId="0" fontId="1" fillId="2" borderId="8" xfId="0" applyFont="1" applyFill="1" applyBorder="1"/>
    <xf numFmtId="0" fontId="0" fillId="3" borderId="9" xfId="0" applyFill="1" applyBorder="1"/>
    <xf numFmtId="0" fontId="0" fillId="3" borderId="10" xfId="0" applyFill="1" applyBorder="1"/>
    <xf numFmtId="0" fontId="1" fillId="2" borderId="8" xfId="0" applyFont="1" applyFill="1" applyBorder="1" applyAlignment="1">
      <alignment horizontal="right"/>
    </xf>
    <xf numFmtId="3" fontId="0" fillId="0" borderId="9" xfId="0" applyNumberFormat="1" applyBorder="1" applyAlignment="1">
      <alignment horizontal="right"/>
    </xf>
    <xf numFmtId="3" fontId="0" fillId="0" borderId="10" xfId="0" applyNumberFormat="1" applyBorder="1" applyAlignment="1">
      <alignment horizontal="right"/>
    </xf>
    <xf numFmtId="0" fontId="0" fillId="3" borderId="2" xfId="0" applyFill="1" applyBorder="1" applyAlignment="1">
      <alignment horizontal="right"/>
    </xf>
    <xf numFmtId="0" fontId="0" fillId="3" borderId="6" xfId="0" applyFill="1" applyBorder="1" applyAlignment="1">
      <alignment horizontal="right"/>
    </xf>
    <xf numFmtId="3" fontId="0" fillId="4" borderId="1" xfId="0" applyNumberFormat="1" applyFill="1" applyBorder="1"/>
    <xf numFmtId="0" fontId="0" fillId="0" borderId="0" xfId="0" applyFill="1" applyBorder="1" applyAlignment="1"/>
    <xf numFmtId="0" fontId="0" fillId="0" borderId="11" xfId="0" applyFill="1" applyBorder="1" applyAlignment="1"/>
    <xf numFmtId="0" fontId="2" fillId="0" borderId="12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Budget ($)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Profit</c:v>
          </c:tx>
          <c:spPr>
            <a:ln w="28575">
              <a:noFill/>
            </a:ln>
          </c:spPr>
          <c:xVal>
            <c:numRef>
              <c:f>Sheet1!$C$3:$C$22</c:f>
              <c:numCache>
                <c:formatCode>#,##0</c:formatCode>
                <c:ptCount val="20"/>
                <c:pt idx="0">
                  <c:v>258000000</c:v>
                </c:pt>
                <c:pt idx="1">
                  <c:v>207000000</c:v>
                </c:pt>
                <c:pt idx="2">
                  <c:v>204000000</c:v>
                </c:pt>
                <c:pt idx="3">
                  <c:v>200000000</c:v>
                </c:pt>
                <c:pt idx="4">
                  <c:v>200000000</c:v>
                </c:pt>
                <c:pt idx="5">
                  <c:v>180000000</c:v>
                </c:pt>
                <c:pt idx="6">
                  <c:v>175000000</c:v>
                </c:pt>
                <c:pt idx="7">
                  <c:v>175000000</c:v>
                </c:pt>
                <c:pt idx="8">
                  <c:v>175000000</c:v>
                </c:pt>
                <c:pt idx="9">
                  <c:v>170000000</c:v>
                </c:pt>
                <c:pt idx="10">
                  <c:v>170000000</c:v>
                </c:pt>
                <c:pt idx="11">
                  <c:v>170000000</c:v>
                </c:pt>
                <c:pt idx="12">
                  <c:v>160000000</c:v>
                </c:pt>
                <c:pt idx="13">
                  <c:v>160000000</c:v>
                </c:pt>
                <c:pt idx="14">
                  <c:v>155000000</c:v>
                </c:pt>
                <c:pt idx="15">
                  <c:v>151500000</c:v>
                </c:pt>
                <c:pt idx="16">
                  <c:v>150000000</c:v>
                </c:pt>
                <c:pt idx="17">
                  <c:v>150000000</c:v>
                </c:pt>
                <c:pt idx="18">
                  <c:v>150000000</c:v>
                </c:pt>
                <c:pt idx="19">
                  <c:v>150000000</c:v>
                </c:pt>
              </c:numCache>
            </c:numRef>
          </c:xVal>
          <c:yVal>
            <c:numRef>
              <c:f>Sheet1!$E$3:$E$22</c:f>
              <c:numCache>
                <c:formatCode>#,##0</c:formatCode>
                <c:ptCount val="20"/>
                <c:pt idx="0">
                  <c:v>629436184</c:v>
                </c:pt>
                <c:pt idx="1">
                  <c:v>346080025</c:v>
                </c:pt>
                <c:pt idx="2">
                  <c:v>187081192</c:v>
                </c:pt>
                <c:pt idx="3">
                  <c:v>584024485</c:v>
                </c:pt>
                <c:pt idx="4">
                  <c:v>1635400000</c:v>
                </c:pt>
                <c:pt idx="5">
                  <c:v>568806957</c:v>
                </c:pt>
                <c:pt idx="6">
                  <c:v>42700000</c:v>
                </c:pt>
                <c:pt idx="7">
                  <c:v>-54301110</c:v>
                </c:pt>
                <c:pt idx="8">
                  <c:v>89246220</c:v>
                </c:pt>
                <c:pt idx="9">
                  <c:v>263058296</c:v>
                </c:pt>
                <c:pt idx="10">
                  <c:v>126596043</c:v>
                </c:pt>
                <c:pt idx="11">
                  <c:v>130150546</c:v>
                </c:pt>
                <c:pt idx="12">
                  <c:v>573012359</c:v>
                </c:pt>
                <c:pt idx="13">
                  <c:v>21674817</c:v>
                </c:pt>
                <c:pt idx="14">
                  <c:v>12297191</c:v>
                </c:pt>
                <c:pt idx="15">
                  <c:v>299000000</c:v>
                </c:pt>
                <c:pt idx="16">
                  <c:v>742213036</c:v>
                </c:pt>
                <c:pt idx="17">
                  <c:v>672828538</c:v>
                </c:pt>
                <c:pt idx="18">
                  <c:v>247501348</c:v>
                </c:pt>
                <c:pt idx="19">
                  <c:v>347298577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17-429C-8479-E307D2E00E26}"/>
            </c:ext>
          </c:extLst>
        </c:ser>
        <c:ser>
          <c:idx val="1"/>
          <c:order val="1"/>
          <c:tx>
            <c:v>Predicted Profit</c:v>
          </c:tx>
          <c:spPr>
            <a:ln w="28575">
              <a:noFill/>
            </a:ln>
          </c:spPr>
          <c:xVal>
            <c:numRef>
              <c:f>Sheet1!$C$3:$C$22</c:f>
              <c:numCache>
                <c:formatCode>#,##0</c:formatCode>
                <c:ptCount val="20"/>
                <c:pt idx="0">
                  <c:v>258000000</c:v>
                </c:pt>
                <c:pt idx="1">
                  <c:v>207000000</c:v>
                </c:pt>
                <c:pt idx="2">
                  <c:v>204000000</c:v>
                </c:pt>
                <c:pt idx="3">
                  <c:v>200000000</c:v>
                </c:pt>
                <c:pt idx="4">
                  <c:v>200000000</c:v>
                </c:pt>
                <c:pt idx="5">
                  <c:v>180000000</c:v>
                </c:pt>
                <c:pt idx="6">
                  <c:v>175000000</c:v>
                </c:pt>
                <c:pt idx="7">
                  <c:v>175000000</c:v>
                </c:pt>
                <c:pt idx="8">
                  <c:v>175000000</c:v>
                </c:pt>
                <c:pt idx="9">
                  <c:v>170000000</c:v>
                </c:pt>
                <c:pt idx="10">
                  <c:v>170000000</c:v>
                </c:pt>
                <c:pt idx="11">
                  <c:v>170000000</c:v>
                </c:pt>
                <c:pt idx="12">
                  <c:v>160000000</c:v>
                </c:pt>
                <c:pt idx="13">
                  <c:v>160000000</c:v>
                </c:pt>
                <c:pt idx="14">
                  <c:v>155000000</c:v>
                </c:pt>
                <c:pt idx="15">
                  <c:v>151500000</c:v>
                </c:pt>
                <c:pt idx="16">
                  <c:v>150000000</c:v>
                </c:pt>
                <c:pt idx="17">
                  <c:v>150000000</c:v>
                </c:pt>
                <c:pt idx="18">
                  <c:v>150000000</c:v>
                </c:pt>
                <c:pt idx="19">
                  <c:v>150000000</c:v>
                </c:pt>
              </c:numCache>
            </c:numRef>
          </c:xVal>
          <c:yVal>
            <c:numRef>
              <c:f>Sheet4!$B$26:$B$45</c:f>
              <c:numCache>
                <c:formatCode>General</c:formatCode>
                <c:ptCount val="20"/>
                <c:pt idx="0">
                  <c:v>629436183.99999988</c:v>
                </c:pt>
                <c:pt idx="1">
                  <c:v>346080024.99999988</c:v>
                </c:pt>
                <c:pt idx="2">
                  <c:v>187081192.00000003</c:v>
                </c:pt>
                <c:pt idx="3">
                  <c:v>584024484.99999988</c:v>
                </c:pt>
                <c:pt idx="4">
                  <c:v>1635399999.9999995</c:v>
                </c:pt>
                <c:pt idx="5">
                  <c:v>568806956.99999988</c:v>
                </c:pt>
                <c:pt idx="6">
                  <c:v>42700000.000000089</c:v>
                </c:pt>
                <c:pt idx="7">
                  <c:v>-54301109.999999896</c:v>
                </c:pt>
                <c:pt idx="8">
                  <c:v>89246220.00000006</c:v>
                </c:pt>
                <c:pt idx="9">
                  <c:v>263058296.00000003</c:v>
                </c:pt>
                <c:pt idx="10">
                  <c:v>126596043.00000003</c:v>
                </c:pt>
                <c:pt idx="11">
                  <c:v>130150546.00000003</c:v>
                </c:pt>
                <c:pt idx="12">
                  <c:v>573012359</c:v>
                </c:pt>
                <c:pt idx="13">
                  <c:v>21674817.000000119</c:v>
                </c:pt>
                <c:pt idx="14">
                  <c:v>12297191.000000119</c:v>
                </c:pt>
                <c:pt idx="15">
                  <c:v>299000000</c:v>
                </c:pt>
                <c:pt idx="16">
                  <c:v>742213036</c:v>
                </c:pt>
                <c:pt idx="17">
                  <c:v>672828538</c:v>
                </c:pt>
                <c:pt idx="18">
                  <c:v>247501348.00000006</c:v>
                </c:pt>
                <c:pt idx="19">
                  <c:v>347298577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617-429C-8479-E307D2E00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167232"/>
        <c:axId val="1114162912"/>
      </c:scatterChart>
      <c:valAx>
        <c:axId val="1114167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Budget ($)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114162912"/>
        <c:crosses val="autoZero"/>
        <c:crossBetween val="midCat"/>
      </c:valAx>
      <c:valAx>
        <c:axId val="11141629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1141672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World Gross ($)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Profit</c:v>
          </c:tx>
          <c:spPr>
            <a:ln w="28575">
              <a:noFill/>
            </a:ln>
          </c:spPr>
          <c:xVal>
            <c:numRef>
              <c:f>Sheet1!$D$3:$D$22</c:f>
              <c:numCache>
                <c:formatCode>#,##0</c:formatCode>
                <c:ptCount val="20"/>
                <c:pt idx="0">
                  <c:v>887436184</c:v>
                </c:pt>
                <c:pt idx="1">
                  <c:v>553080025</c:v>
                </c:pt>
                <c:pt idx="2">
                  <c:v>391081192</c:v>
                </c:pt>
                <c:pt idx="3">
                  <c:v>784024485</c:v>
                </c:pt>
                <c:pt idx="4">
                  <c:v>1835400000</c:v>
                </c:pt>
                <c:pt idx="5">
                  <c:v>748806957</c:v>
                </c:pt>
                <c:pt idx="6">
                  <c:v>217700000</c:v>
                </c:pt>
                <c:pt idx="7">
                  <c:v>120698890</c:v>
                </c:pt>
                <c:pt idx="8">
                  <c:v>264246220</c:v>
                </c:pt>
                <c:pt idx="9">
                  <c:v>433058296</c:v>
                </c:pt>
                <c:pt idx="10">
                  <c:v>296596043</c:v>
                </c:pt>
                <c:pt idx="11">
                  <c:v>300150546</c:v>
                </c:pt>
                <c:pt idx="12">
                  <c:v>733012359</c:v>
                </c:pt>
                <c:pt idx="13">
                  <c:v>181674817</c:v>
                </c:pt>
                <c:pt idx="14">
                  <c:v>167297191</c:v>
                </c:pt>
                <c:pt idx="15">
                  <c:v>450500000</c:v>
                </c:pt>
                <c:pt idx="16">
                  <c:v>892213036</c:v>
                </c:pt>
                <c:pt idx="17">
                  <c:v>822828538</c:v>
                </c:pt>
                <c:pt idx="18">
                  <c:v>397501348</c:v>
                </c:pt>
                <c:pt idx="19">
                  <c:v>497298577</c:v>
                </c:pt>
              </c:numCache>
            </c:numRef>
          </c:xVal>
          <c:yVal>
            <c:numRef>
              <c:f>Sheet1!$E$3:$E$22</c:f>
              <c:numCache>
                <c:formatCode>#,##0</c:formatCode>
                <c:ptCount val="20"/>
                <c:pt idx="0">
                  <c:v>629436184</c:v>
                </c:pt>
                <c:pt idx="1">
                  <c:v>346080025</c:v>
                </c:pt>
                <c:pt idx="2">
                  <c:v>187081192</c:v>
                </c:pt>
                <c:pt idx="3">
                  <c:v>584024485</c:v>
                </c:pt>
                <c:pt idx="4">
                  <c:v>1635400000</c:v>
                </c:pt>
                <c:pt idx="5">
                  <c:v>568806957</c:v>
                </c:pt>
                <c:pt idx="6">
                  <c:v>42700000</c:v>
                </c:pt>
                <c:pt idx="7">
                  <c:v>-54301110</c:v>
                </c:pt>
                <c:pt idx="8">
                  <c:v>89246220</c:v>
                </c:pt>
                <c:pt idx="9">
                  <c:v>263058296</c:v>
                </c:pt>
                <c:pt idx="10">
                  <c:v>126596043</c:v>
                </c:pt>
                <c:pt idx="11">
                  <c:v>130150546</c:v>
                </c:pt>
                <c:pt idx="12">
                  <c:v>573012359</c:v>
                </c:pt>
                <c:pt idx="13">
                  <c:v>21674817</c:v>
                </c:pt>
                <c:pt idx="14">
                  <c:v>12297191</c:v>
                </c:pt>
                <c:pt idx="15">
                  <c:v>299000000</c:v>
                </c:pt>
                <c:pt idx="16">
                  <c:v>742213036</c:v>
                </c:pt>
                <c:pt idx="17">
                  <c:v>672828538</c:v>
                </c:pt>
                <c:pt idx="18">
                  <c:v>247501348</c:v>
                </c:pt>
                <c:pt idx="19">
                  <c:v>347298577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8-4D25-953E-BBD41383B507}"/>
            </c:ext>
          </c:extLst>
        </c:ser>
        <c:ser>
          <c:idx val="1"/>
          <c:order val="1"/>
          <c:tx>
            <c:v>Predicted Profit</c:v>
          </c:tx>
          <c:spPr>
            <a:ln w="28575">
              <a:noFill/>
            </a:ln>
          </c:spPr>
          <c:xVal>
            <c:numRef>
              <c:f>Sheet1!$D$3:$D$22</c:f>
              <c:numCache>
                <c:formatCode>#,##0</c:formatCode>
                <c:ptCount val="20"/>
                <c:pt idx="0">
                  <c:v>887436184</c:v>
                </c:pt>
                <c:pt idx="1">
                  <c:v>553080025</c:v>
                </c:pt>
                <c:pt idx="2">
                  <c:v>391081192</c:v>
                </c:pt>
                <c:pt idx="3">
                  <c:v>784024485</c:v>
                </c:pt>
                <c:pt idx="4">
                  <c:v>1835400000</c:v>
                </c:pt>
                <c:pt idx="5">
                  <c:v>748806957</c:v>
                </c:pt>
                <c:pt idx="6">
                  <c:v>217700000</c:v>
                </c:pt>
                <c:pt idx="7">
                  <c:v>120698890</c:v>
                </c:pt>
                <c:pt idx="8">
                  <c:v>264246220</c:v>
                </c:pt>
                <c:pt idx="9">
                  <c:v>433058296</c:v>
                </c:pt>
                <c:pt idx="10">
                  <c:v>296596043</c:v>
                </c:pt>
                <c:pt idx="11">
                  <c:v>300150546</c:v>
                </c:pt>
                <c:pt idx="12">
                  <c:v>733012359</c:v>
                </c:pt>
                <c:pt idx="13">
                  <c:v>181674817</c:v>
                </c:pt>
                <c:pt idx="14">
                  <c:v>167297191</c:v>
                </c:pt>
                <c:pt idx="15">
                  <c:v>450500000</c:v>
                </c:pt>
                <c:pt idx="16">
                  <c:v>892213036</c:v>
                </c:pt>
                <c:pt idx="17">
                  <c:v>822828538</c:v>
                </c:pt>
                <c:pt idx="18">
                  <c:v>397501348</c:v>
                </c:pt>
                <c:pt idx="19">
                  <c:v>497298577</c:v>
                </c:pt>
              </c:numCache>
            </c:numRef>
          </c:xVal>
          <c:yVal>
            <c:numRef>
              <c:f>Sheet4!$B$26:$B$45</c:f>
              <c:numCache>
                <c:formatCode>General</c:formatCode>
                <c:ptCount val="20"/>
                <c:pt idx="0">
                  <c:v>629436183.99999988</c:v>
                </c:pt>
                <c:pt idx="1">
                  <c:v>346080024.99999988</c:v>
                </c:pt>
                <c:pt idx="2">
                  <c:v>187081192.00000003</c:v>
                </c:pt>
                <c:pt idx="3">
                  <c:v>584024484.99999988</c:v>
                </c:pt>
                <c:pt idx="4">
                  <c:v>1635399999.9999995</c:v>
                </c:pt>
                <c:pt idx="5">
                  <c:v>568806956.99999988</c:v>
                </c:pt>
                <c:pt idx="6">
                  <c:v>42700000.000000089</c:v>
                </c:pt>
                <c:pt idx="7">
                  <c:v>-54301109.999999896</c:v>
                </c:pt>
                <c:pt idx="8">
                  <c:v>89246220.00000006</c:v>
                </c:pt>
                <c:pt idx="9">
                  <c:v>263058296.00000003</c:v>
                </c:pt>
                <c:pt idx="10">
                  <c:v>126596043.00000003</c:v>
                </c:pt>
                <c:pt idx="11">
                  <c:v>130150546.00000003</c:v>
                </c:pt>
                <c:pt idx="12">
                  <c:v>573012359</c:v>
                </c:pt>
                <c:pt idx="13">
                  <c:v>21674817.000000119</c:v>
                </c:pt>
                <c:pt idx="14">
                  <c:v>12297191.000000119</c:v>
                </c:pt>
                <c:pt idx="15">
                  <c:v>299000000</c:v>
                </c:pt>
                <c:pt idx="16">
                  <c:v>742213036</c:v>
                </c:pt>
                <c:pt idx="17">
                  <c:v>672828538</c:v>
                </c:pt>
                <c:pt idx="18">
                  <c:v>247501348.00000006</c:v>
                </c:pt>
                <c:pt idx="19">
                  <c:v>347298577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8-4D25-953E-BBD41383B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169152"/>
        <c:axId val="1114171552"/>
      </c:scatterChart>
      <c:valAx>
        <c:axId val="1114169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World Gross ($)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114171552"/>
        <c:crosses val="autoZero"/>
        <c:crossBetween val="midCat"/>
      </c:valAx>
      <c:valAx>
        <c:axId val="11141715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1141691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Sheet4!$E$26:$E$45</c:f>
              <c:numCache>
                <c:formatCode>General</c:formatCode>
                <c:ptCount val="2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</c:numCache>
            </c:numRef>
          </c:xVal>
          <c:yVal>
            <c:numRef>
              <c:f>Sheet4!$F$26:$F$45</c:f>
              <c:numCache>
                <c:formatCode>General</c:formatCode>
                <c:ptCount val="20"/>
                <c:pt idx="0">
                  <c:v>-54301110</c:v>
                </c:pt>
                <c:pt idx="1">
                  <c:v>12297191</c:v>
                </c:pt>
                <c:pt idx="2">
                  <c:v>21674817</c:v>
                </c:pt>
                <c:pt idx="3">
                  <c:v>42700000</c:v>
                </c:pt>
                <c:pt idx="4">
                  <c:v>89246220</c:v>
                </c:pt>
                <c:pt idx="5">
                  <c:v>126596043</c:v>
                </c:pt>
                <c:pt idx="6">
                  <c:v>130150546</c:v>
                </c:pt>
                <c:pt idx="7">
                  <c:v>187081192</c:v>
                </c:pt>
                <c:pt idx="8">
                  <c:v>247501348</c:v>
                </c:pt>
                <c:pt idx="9">
                  <c:v>263058296</c:v>
                </c:pt>
                <c:pt idx="10">
                  <c:v>299000000</c:v>
                </c:pt>
                <c:pt idx="11">
                  <c:v>346080025</c:v>
                </c:pt>
                <c:pt idx="12">
                  <c:v>347298577</c:v>
                </c:pt>
                <c:pt idx="13">
                  <c:v>568806957</c:v>
                </c:pt>
                <c:pt idx="14">
                  <c:v>573012359</c:v>
                </c:pt>
                <c:pt idx="15">
                  <c:v>584024485</c:v>
                </c:pt>
                <c:pt idx="16">
                  <c:v>629436184</c:v>
                </c:pt>
                <c:pt idx="17">
                  <c:v>672828538</c:v>
                </c:pt>
                <c:pt idx="18">
                  <c:v>742213036</c:v>
                </c:pt>
                <c:pt idx="19">
                  <c:v>1635400000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30-411A-A60C-4952AE656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172992"/>
        <c:axId val="1114173952"/>
      </c:scatterChart>
      <c:valAx>
        <c:axId val="1114172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14173952"/>
        <c:crosses val="autoZero"/>
        <c:crossBetween val="midCat"/>
      </c:valAx>
      <c:valAx>
        <c:axId val="11141739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1417299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Budget ($)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Profit</c:v>
          </c:tx>
          <c:spPr>
            <a:ln w="28575">
              <a:noFill/>
            </a:ln>
          </c:spPr>
          <c:xVal>
            <c:numRef>
              <c:f>Sheet1!$C$3:$C$22</c:f>
              <c:numCache>
                <c:formatCode>#,##0</c:formatCode>
                <c:ptCount val="20"/>
                <c:pt idx="0">
                  <c:v>258000000</c:v>
                </c:pt>
                <c:pt idx="1">
                  <c:v>207000000</c:v>
                </c:pt>
                <c:pt idx="2">
                  <c:v>204000000</c:v>
                </c:pt>
                <c:pt idx="3">
                  <c:v>200000000</c:v>
                </c:pt>
                <c:pt idx="4">
                  <c:v>200000000</c:v>
                </c:pt>
                <c:pt idx="5">
                  <c:v>180000000</c:v>
                </c:pt>
                <c:pt idx="6">
                  <c:v>175000000</c:v>
                </c:pt>
                <c:pt idx="7">
                  <c:v>175000000</c:v>
                </c:pt>
                <c:pt idx="8">
                  <c:v>175000000</c:v>
                </c:pt>
                <c:pt idx="9">
                  <c:v>170000000</c:v>
                </c:pt>
                <c:pt idx="10">
                  <c:v>170000000</c:v>
                </c:pt>
                <c:pt idx="11">
                  <c:v>170000000</c:v>
                </c:pt>
                <c:pt idx="12">
                  <c:v>160000000</c:v>
                </c:pt>
                <c:pt idx="13">
                  <c:v>160000000</c:v>
                </c:pt>
                <c:pt idx="14">
                  <c:v>155000000</c:v>
                </c:pt>
                <c:pt idx="15">
                  <c:v>151500000</c:v>
                </c:pt>
                <c:pt idx="16">
                  <c:v>150000000</c:v>
                </c:pt>
                <c:pt idx="17">
                  <c:v>150000000</c:v>
                </c:pt>
                <c:pt idx="18">
                  <c:v>150000000</c:v>
                </c:pt>
                <c:pt idx="19">
                  <c:v>150000000</c:v>
                </c:pt>
              </c:numCache>
            </c:numRef>
          </c:xVal>
          <c:yVal>
            <c:numRef>
              <c:f>Sheet1!$E$3:$E$22</c:f>
              <c:numCache>
                <c:formatCode>#,##0</c:formatCode>
                <c:ptCount val="20"/>
                <c:pt idx="0">
                  <c:v>629436184</c:v>
                </c:pt>
                <c:pt idx="1">
                  <c:v>346080025</c:v>
                </c:pt>
                <c:pt idx="2">
                  <c:v>187081192</c:v>
                </c:pt>
                <c:pt idx="3">
                  <c:v>584024485</c:v>
                </c:pt>
                <c:pt idx="4">
                  <c:v>1635400000</c:v>
                </c:pt>
                <c:pt idx="5">
                  <c:v>568806957</c:v>
                </c:pt>
                <c:pt idx="6">
                  <c:v>42700000</c:v>
                </c:pt>
                <c:pt idx="7">
                  <c:v>-54301110</c:v>
                </c:pt>
                <c:pt idx="8">
                  <c:v>89246220</c:v>
                </c:pt>
                <c:pt idx="9">
                  <c:v>263058296</c:v>
                </c:pt>
                <c:pt idx="10">
                  <c:v>126596043</c:v>
                </c:pt>
                <c:pt idx="11">
                  <c:v>130150546</c:v>
                </c:pt>
                <c:pt idx="12">
                  <c:v>573012359</c:v>
                </c:pt>
                <c:pt idx="13">
                  <c:v>21674817</c:v>
                </c:pt>
                <c:pt idx="14">
                  <c:v>12297191</c:v>
                </c:pt>
                <c:pt idx="15">
                  <c:v>299000000</c:v>
                </c:pt>
                <c:pt idx="16">
                  <c:v>742213036</c:v>
                </c:pt>
                <c:pt idx="17">
                  <c:v>672828538</c:v>
                </c:pt>
                <c:pt idx="18">
                  <c:v>247501348</c:v>
                </c:pt>
                <c:pt idx="19">
                  <c:v>347298577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31-4A81-9BC3-4371774F9ECC}"/>
            </c:ext>
          </c:extLst>
        </c:ser>
        <c:ser>
          <c:idx val="1"/>
          <c:order val="1"/>
          <c:tx>
            <c:v>Predicted Profit</c:v>
          </c:tx>
          <c:spPr>
            <a:ln w="28575">
              <a:noFill/>
            </a:ln>
          </c:spPr>
          <c:xVal>
            <c:numRef>
              <c:f>Sheet1!$C$3:$C$22</c:f>
              <c:numCache>
                <c:formatCode>#,##0</c:formatCode>
                <c:ptCount val="20"/>
                <c:pt idx="0">
                  <c:v>258000000</c:v>
                </c:pt>
                <c:pt idx="1">
                  <c:v>207000000</c:v>
                </c:pt>
                <c:pt idx="2">
                  <c:v>204000000</c:v>
                </c:pt>
                <c:pt idx="3">
                  <c:v>200000000</c:v>
                </c:pt>
                <c:pt idx="4">
                  <c:v>200000000</c:v>
                </c:pt>
                <c:pt idx="5">
                  <c:v>180000000</c:v>
                </c:pt>
                <c:pt idx="6">
                  <c:v>175000000</c:v>
                </c:pt>
                <c:pt idx="7">
                  <c:v>175000000</c:v>
                </c:pt>
                <c:pt idx="8">
                  <c:v>175000000</c:v>
                </c:pt>
                <c:pt idx="9">
                  <c:v>170000000</c:v>
                </c:pt>
                <c:pt idx="10">
                  <c:v>170000000</c:v>
                </c:pt>
                <c:pt idx="11">
                  <c:v>170000000</c:v>
                </c:pt>
                <c:pt idx="12">
                  <c:v>160000000</c:v>
                </c:pt>
                <c:pt idx="13">
                  <c:v>160000000</c:v>
                </c:pt>
                <c:pt idx="14">
                  <c:v>155000000</c:v>
                </c:pt>
                <c:pt idx="15">
                  <c:v>151500000</c:v>
                </c:pt>
                <c:pt idx="16">
                  <c:v>150000000</c:v>
                </c:pt>
                <c:pt idx="17">
                  <c:v>150000000</c:v>
                </c:pt>
                <c:pt idx="18">
                  <c:v>150000000</c:v>
                </c:pt>
                <c:pt idx="19">
                  <c:v>150000000</c:v>
                </c:pt>
              </c:numCache>
            </c:numRef>
          </c:xVal>
          <c:yVal>
            <c:numRef>
              <c:f>Sheet1!$J$34:$J$53</c:f>
              <c:numCache>
                <c:formatCode>General</c:formatCode>
                <c:ptCount val="20"/>
                <c:pt idx="0">
                  <c:v>691991414.37466764</c:v>
                </c:pt>
                <c:pt idx="1">
                  <c:v>494863858.8983652</c:v>
                </c:pt>
                <c:pt idx="2">
                  <c:v>483268120.34093565</c:v>
                </c:pt>
                <c:pt idx="3">
                  <c:v>467807135.59769624</c:v>
                </c:pt>
                <c:pt idx="4">
                  <c:v>467807135.59769624</c:v>
                </c:pt>
                <c:pt idx="5">
                  <c:v>390502211.88149911</c:v>
                </c:pt>
                <c:pt idx="6">
                  <c:v>371175980.95244986</c:v>
                </c:pt>
                <c:pt idx="7">
                  <c:v>371175980.95244986</c:v>
                </c:pt>
                <c:pt idx="8">
                  <c:v>371175980.95244986</c:v>
                </c:pt>
                <c:pt idx="9">
                  <c:v>351849750.0234006</c:v>
                </c:pt>
                <c:pt idx="10">
                  <c:v>351849750.0234006</c:v>
                </c:pt>
                <c:pt idx="11">
                  <c:v>351849750.0234006</c:v>
                </c:pt>
                <c:pt idx="12">
                  <c:v>313197288.1653021</c:v>
                </c:pt>
                <c:pt idx="13">
                  <c:v>313197288.1653021</c:v>
                </c:pt>
                <c:pt idx="14">
                  <c:v>293871057.23625273</c:v>
                </c:pt>
                <c:pt idx="15">
                  <c:v>280342695.58591825</c:v>
                </c:pt>
                <c:pt idx="16">
                  <c:v>274544826.30720347</c:v>
                </c:pt>
                <c:pt idx="17">
                  <c:v>274544826.30720347</c:v>
                </c:pt>
                <c:pt idx="18">
                  <c:v>274544826.30720347</c:v>
                </c:pt>
                <c:pt idx="19">
                  <c:v>274544826.30720347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31-4A81-9BC3-4371774F9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7423632"/>
        <c:axId val="1157428432"/>
      </c:scatterChart>
      <c:valAx>
        <c:axId val="1157423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Budget ($)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157428432"/>
        <c:crosses val="autoZero"/>
        <c:crossBetween val="midCat"/>
      </c:valAx>
      <c:valAx>
        <c:axId val="11574284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1574236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Sheet1!$M$34:$M$53</c:f>
              <c:numCache>
                <c:formatCode>General</c:formatCode>
                <c:ptCount val="2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</c:numCache>
            </c:numRef>
          </c:xVal>
          <c:yVal>
            <c:numRef>
              <c:f>Sheet1!$N$34:$N$53</c:f>
              <c:numCache>
                <c:formatCode>General</c:formatCode>
                <c:ptCount val="20"/>
                <c:pt idx="0">
                  <c:v>-54301110</c:v>
                </c:pt>
                <c:pt idx="1">
                  <c:v>12297191</c:v>
                </c:pt>
                <c:pt idx="2">
                  <c:v>21674817</c:v>
                </c:pt>
                <c:pt idx="3">
                  <c:v>42700000</c:v>
                </c:pt>
                <c:pt idx="4">
                  <c:v>89246220</c:v>
                </c:pt>
                <c:pt idx="5">
                  <c:v>126596043</c:v>
                </c:pt>
                <c:pt idx="6">
                  <c:v>130150546</c:v>
                </c:pt>
                <c:pt idx="7">
                  <c:v>187081192</c:v>
                </c:pt>
                <c:pt idx="8">
                  <c:v>247501348</c:v>
                </c:pt>
                <c:pt idx="9">
                  <c:v>263058296</c:v>
                </c:pt>
                <c:pt idx="10">
                  <c:v>299000000</c:v>
                </c:pt>
                <c:pt idx="11">
                  <c:v>346080025</c:v>
                </c:pt>
                <c:pt idx="12">
                  <c:v>347298577</c:v>
                </c:pt>
                <c:pt idx="13">
                  <c:v>568806957</c:v>
                </c:pt>
                <c:pt idx="14">
                  <c:v>573012359</c:v>
                </c:pt>
                <c:pt idx="15">
                  <c:v>584024485</c:v>
                </c:pt>
                <c:pt idx="16">
                  <c:v>629436184</c:v>
                </c:pt>
                <c:pt idx="17">
                  <c:v>672828538</c:v>
                </c:pt>
                <c:pt idx="18">
                  <c:v>742213036</c:v>
                </c:pt>
                <c:pt idx="19">
                  <c:v>1635400000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D3-4438-AF65-96C962AE1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164832"/>
        <c:axId val="1114165792"/>
      </c:scatterChart>
      <c:valAx>
        <c:axId val="1114164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14165792"/>
        <c:crosses val="autoZero"/>
        <c:crossBetween val="midCat"/>
      </c:valAx>
      <c:valAx>
        <c:axId val="11141657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1416483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AAD1BA-21BE-2314-4EF3-89624E12E8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281940</xdr:colOff>
      <xdr:row>12</xdr:row>
      <xdr:rowOff>160020</xdr:rowOff>
    </xdr:from>
    <xdr:to>
      <xdr:col>18</xdr:col>
      <xdr:colOff>281940</xdr:colOff>
      <xdr:row>22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28FF20-3973-3E8B-46B7-C81BD706E9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350520</xdr:colOff>
      <xdr:row>1</xdr:row>
      <xdr:rowOff>0</xdr:rowOff>
    </xdr:from>
    <xdr:to>
      <xdr:col>21</xdr:col>
      <xdr:colOff>350520</xdr:colOff>
      <xdr:row>11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CDEA04-868B-5E69-5DC6-5F6FC67CF5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251460</xdr:colOff>
      <xdr:row>9</xdr:row>
      <xdr:rowOff>175260</xdr:rowOff>
    </xdr:from>
    <xdr:to>
      <xdr:col>23</xdr:col>
      <xdr:colOff>251460</xdr:colOff>
      <xdr:row>19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7E662E-F9A7-57F6-079E-80E8035284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236220</xdr:colOff>
      <xdr:row>21</xdr:row>
      <xdr:rowOff>22860</xdr:rowOff>
    </xdr:from>
    <xdr:to>
      <xdr:col>23</xdr:col>
      <xdr:colOff>236220</xdr:colOff>
      <xdr:row>31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26289B-5488-86AC-E9AD-FAB4C23126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237CF-17D0-47A1-B012-3D2CFA5B9E84}">
  <dimension ref="A1:I45"/>
  <sheetViews>
    <sheetView workbookViewId="0">
      <selection activeCell="L13" sqref="L13"/>
    </sheetView>
  </sheetViews>
  <sheetFormatPr defaultRowHeight="14.4" x14ac:dyDescent="0.3"/>
  <sheetData>
    <row r="1" spans="1:9" x14ac:dyDescent="0.3">
      <c r="A1" t="s">
        <v>26</v>
      </c>
    </row>
    <row r="2" spans="1:9" ht="15" thickBot="1" x14ac:dyDescent="0.35"/>
    <row r="3" spans="1:9" x14ac:dyDescent="0.3">
      <c r="A3" s="18" t="s">
        <v>27</v>
      </c>
      <c r="B3" s="18"/>
    </row>
    <row r="4" spans="1:9" x14ac:dyDescent="0.3">
      <c r="A4" s="15" t="s">
        <v>28</v>
      </c>
      <c r="B4" s="15">
        <v>1</v>
      </c>
    </row>
    <row r="5" spans="1:9" x14ac:dyDescent="0.3">
      <c r="A5" s="15" t="s">
        <v>29</v>
      </c>
      <c r="B5" s="15">
        <v>1</v>
      </c>
    </row>
    <row r="6" spans="1:9" x14ac:dyDescent="0.3">
      <c r="A6" s="15" t="s">
        <v>30</v>
      </c>
      <c r="B6" s="15">
        <v>1</v>
      </c>
    </row>
    <row r="7" spans="1:9" x14ac:dyDescent="0.3">
      <c r="A7" s="15" t="s">
        <v>31</v>
      </c>
      <c r="B7" s="15">
        <v>1.6952253034490765E-7</v>
      </c>
    </row>
    <row r="8" spans="1:9" ht="15" thickBot="1" x14ac:dyDescent="0.35">
      <c r="A8" s="16" t="s">
        <v>32</v>
      </c>
      <c r="B8" s="16">
        <v>20</v>
      </c>
    </row>
    <row r="10" spans="1:9" ht="15" thickBot="1" x14ac:dyDescent="0.35">
      <c r="A10" t="s">
        <v>33</v>
      </c>
    </row>
    <row r="11" spans="1:9" x14ac:dyDescent="0.3">
      <c r="A11" s="17"/>
      <c r="B11" s="17" t="s">
        <v>38</v>
      </c>
      <c r="C11" s="17" t="s">
        <v>39</v>
      </c>
      <c r="D11" s="17" t="s">
        <v>40</v>
      </c>
      <c r="E11" s="17" t="s">
        <v>41</v>
      </c>
      <c r="F11" s="17" t="s">
        <v>42</v>
      </c>
    </row>
    <row r="12" spans="1:9" x14ac:dyDescent="0.3">
      <c r="A12" s="15" t="s">
        <v>34</v>
      </c>
      <c r="B12" s="15">
        <v>2</v>
      </c>
      <c r="C12" s="15">
        <v>2.8231958391521075E+18</v>
      </c>
      <c r="D12" s="15">
        <v>1.4115979195760538E+18</v>
      </c>
      <c r="E12" s="15">
        <v>4.9119751079422252E+31</v>
      </c>
      <c r="F12" s="15">
        <v>3.3449030271345337E-262</v>
      </c>
    </row>
    <row r="13" spans="1:9" x14ac:dyDescent="0.3">
      <c r="A13" s="15" t="s">
        <v>35</v>
      </c>
      <c r="B13" s="15">
        <v>17</v>
      </c>
      <c r="C13" s="15">
        <v>4.8854410100718226E-13</v>
      </c>
      <c r="D13" s="15">
        <v>2.8737888294540133E-14</v>
      </c>
      <c r="E13" s="15"/>
      <c r="F13" s="15"/>
    </row>
    <row r="14" spans="1:9" ht="15" thickBot="1" x14ac:dyDescent="0.35">
      <c r="A14" s="16" t="s">
        <v>36</v>
      </c>
      <c r="B14" s="16">
        <v>19</v>
      </c>
      <c r="C14" s="16">
        <v>2.8231958391521075E+18</v>
      </c>
      <c r="D14" s="16"/>
      <c r="E14" s="16"/>
      <c r="F14" s="16"/>
    </row>
    <row r="15" spans="1:9" ht="15" thickBot="1" x14ac:dyDescent="0.35"/>
    <row r="16" spans="1:9" x14ac:dyDescent="0.3">
      <c r="A16" s="17"/>
      <c r="B16" s="17" t="s">
        <v>43</v>
      </c>
      <c r="C16" s="17" t="s">
        <v>31</v>
      </c>
      <c r="D16" s="17" t="s">
        <v>44</v>
      </c>
      <c r="E16" s="17" t="s">
        <v>45</v>
      </c>
      <c r="F16" s="17" t="s">
        <v>46</v>
      </c>
      <c r="G16" s="17" t="s">
        <v>47</v>
      </c>
      <c r="H16" s="17" t="s">
        <v>48</v>
      </c>
      <c r="I16" s="17" t="s">
        <v>49</v>
      </c>
    </row>
    <row r="17" spans="1:9" x14ac:dyDescent="0.3">
      <c r="A17" s="15" t="s">
        <v>37</v>
      </c>
      <c r="B17" s="15">
        <v>2.384185791015625E-7</v>
      </c>
      <c r="C17" s="15">
        <v>2.5631964642762331E-7</v>
      </c>
      <c r="D17" s="15">
        <v>0.93016115785289399</v>
      </c>
      <c r="E17" s="15">
        <v>0.36530891886966321</v>
      </c>
      <c r="F17" s="15">
        <v>-3.0236860383616508E-7</v>
      </c>
      <c r="G17" s="15">
        <v>7.7920576203929008E-7</v>
      </c>
      <c r="H17" s="15">
        <v>-3.0236860383616508E-7</v>
      </c>
      <c r="I17" s="15">
        <v>7.7920576203929008E-7</v>
      </c>
    </row>
    <row r="18" spans="1:9" x14ac:dyDescent="0.3">
      <c r="A18" s="15" t="s">
        <v>20</v>
      </c>
      <c r="B18" s="15">
        <v>-1.0000000000000004</v>
      </c>
      <c r="C18" s="15">
        <v>1.520798084743052E-15</v>
      </c>
      <c r="D18" s="15">
        <v>-657549486701882.88</v>
      </c>
      <c r="E18" s="15">
        <v>6.8291222093040256E-243</v>
      </c>
      <c r="F18" s="15">
        <v>-1.0000000000000036</v>
      </c>
      <c r="G18" s="15">
        <v>-0.99999999999999722</v>
      </c>
      <c r="H18" s="15">
        <v>-1.0000000000000036</v>
      </c>
      <c r="I18" s="15">
        <v>-0.99999999999999722</v>
      </c>
    </row>
    <row r="19" spans="1:9" ht="15" thickBot="1" x14ac:dyDescent="0.35">
      <c r="A19" s="16" t="s">
        <v>21</v>
      </c>
      <c r="B19" s="16">
        <v>0.99999999999999967</v>
      </c>
      <c r="C19" s="16">
        <v>1.0485103495368607E-16</v>
      </c>
      <c r="D19" s="16">
        <v>9537340288931926</v>
      </c>
      <c r="E19" s="16">
        <v>1.2271133601228139E-262</v>
      </c>
      <c r="F19" s="16">
        <v>0.99999999999999944</v>
      </c>
      <c r="G19" s="16">
        <v>0.99999999999999989</v>
      </c>
      <c r="H19" s="16">
        <v>0.99999999999999944</v>
      </c>
      <c r="I19" s="16">
        <v>0.99999999999999989</v>
      </c>
    </row>
    <row r="23" spans="1:9" x14ac:dyDescent="0.3">
      <c r="A23" t="s">
        <v>50</v>
      </c>
      <c r="E23" t="s">
        <v>54</v>
      </c>
    </row>
    <row r="24" spans="1:9" ht="15" thickBot="1" x14ac:dyDescent="0.35"/>
    <row r="25" spans="1:9" x14ac:dyDescent="0.3">
      <c r="A25" s="17" t="s">
        <v>51</v>
      </c>
      <c r="B25" s="17" t="s">
        <v>52</v>
      </c>
      <c r="C25" s="17" t="s">
        <v>53</v>
      </c>
      <c r="E25" s="17" t="s">
        <v>55</v>
      </c>
      <c r="F25" s="17" t="s">
        <v>22</v>
      </c>
    </row>
    <row r="26" spans="1:9" x14ac:dyDescent="0.3">
      <c r="A26" s="15">
        <v>1</v>
      </c>
      <c r="B26" s="15">
        <v>629436183.99999988</v>
      </c>
      <c r="C26" s="15">
        <v>1.1920928955078125E-7</v>
      </c>
      <c r="E26" s="15">
        <v>2.5</v>
      </c>
      <c r="F26" s="15">
        <v>-54301110</v>
      </c>
    </row>
    <row r="27" spans="1:9" x14ac:dyDescent="0.3">
      <c r="A27" s="15">
        <v>2</v>
      </c>
      <c r="B27" s="15">
        <v>346080024.99999988</v>
      </c>
      <c r="C27" s="15">
        <v>1.1920928955078125E-7</v>
      </c>
      <c r="E27" s="15">
        <v>7.5</v>
      </c>
      <c r="F27" s="15">
        <v>12297191</v>
      </c>
    </row>
    <row r="28" spans="1:9" x14ac:dyDescent="0.3">
      <c r="A28" s="15">
        <v>3</v>
      </c>
      <c r="B28" s="15">
        <v>187081192.00000003</v>
      </c>
      <c r="C28" s="15">
        <v>-2.9802322387695313E-8</v>
      </c>
      <c r="E28" s="15">
        <v>12.5</v>
      </c>
      <c r="F28" s="15">
        <v>21674817</v>
      </c>
    </row>
    <row r="29" spans="1:9" x14ac:dyDescent="0.3">
      <c r="A29" s="15">
        <v>4</v>
      </c>
      <c r="B29" s="15">
        <v>584024484.99999988</v>
      </c>
      <c r="C29" s="15">
        <v>1.1920928955078125E-7</v>
      </c>
      <c r="E29" s="15">
        <v>17.5</v>
      </c>
      <c r="F29" s="15">
        <v>42700000</v>
      </c>
    </row>
    <row r="30" spans="1:9" x14ac:dyDescent="0.3">
      <c r="A30" s="15">
        <v>5</v>
      </c>
      <c r="B30" s="15">
        <v>1635399999.9999995</v>
      </c>
      <c r="C30" s="15">
        <v>4.76837158203125E-7</v>
      </c>
      <c r="E30" s="15">
        <v>22.5</v>
      </c>
      <c r="F30" s="15">
        <v>89246220</v>
      </c>
    </row>
    <row r="31" spans="1:9" x14ac:dyDescent="0.3">
      <c r="A31" s="15">
        <v>6</v>
      </c>
      <c r="B31" s="15">
        <v>568806956.99999988</v>
      </c>
      <c r="C31" s="15">
        <v>1.1920928955078125E-7</v>
      </c>
      <c r="E31" s="15">
        <v>27.5</v>
      </c>
      <c r="F31" s="15">
        <v>126596043</v>
      </c>
    </row>
    <row r="32" spans="1:9" x14ac:dyDescent="0.3">
      <c r="A32" s="15">
        <v>7</v>
      </c>
      <c r="B32" s="15">
        <v>42700000.000000089</v>
      </c>
      <c r="C32" s="15">
        <v>-8.9406967163085938E-8</v>
      </c>
      <c r="E32" s="15">
        <v>32.5</v>
      </c>
      <c r="F32" s="15">
        <v>130150546</v>
      </c>
    </row>
    <row r="33" spans="1:6" x14ac:dyDescent="0.3">
      <c r="A33" s="15">
        <v>8</v>
      </c>
      <c r="B33" s="15">
        <v>-54301109.999999896</v>
      </c>
      <c r="C33" s="15">
        <v>-1.0430812835693359E-7</v>
      </c>
      <c r="E33" s="15">
        <v>37.5</v>
      </c>
      <c r="F33" s="15">
        <v>187081192</v>
      </c>
    </row>
    <row r="34" spans="1:6" x14ac:dyDescent="0.3">
      <c r="A34" s="15">
        <v>9</v>
      </c>
      <c r="B34" s="15">
        <v>89246220.00000006</v>
      </c>
      <c r="C34" s="15">
        <v>-5.9604644775390625E-8</v>
      </c>
      <c r="E34" s="15">
        <v>42.5</v>
      </c>
      <c r="F34" s="15">
        <v>247501348</v>
      </c>
    </row>
    <row r="35" spans="1:6" x14ac:dyDescent="0.3">
      <c r="A35" s="15">
        <v>10</v>
      </c>
      <c r="B35" s="15">
        <v>263058296.00000003</v>
      </c>
      <c r="C35" s="15">
        <v>-2.9802322387695313E-8</v>
      </c>
      <c r="E35" s="15">
        <v>47.5</v>
      </c>
      <c r="F35" s="15">
        <v>263058296</v>
      </c>
    </row>
    <row r="36" spans="1:6" x14ac:dyDescent="0.3">
      <c r="A36" s="15">
        <v>11</v>
      </c>
      <c r="B36" s="15">
        <v>126596043.00000003</v>
      </c>
      <c r="C36" s="15">
        <v>-2.9802322387695313E-8</v>
      </c>
      <c r="E36" s="15">
        <v>52.5</v>
      </c>
      <c r="F36" s="15">
        <v>299000000</v>
      </c>
    </row>
    <row r="37" spans="1:6" x14ac:dyDescent="0.3">
      <c r="A37" s="15">
        <v>12</v>
      </c>
      <c r="B37" s="15">
        <v>130150546.00000003</v>
      </c>
      <c r="C37" s="15">
        <v>-2.9802322387695313E-8</v>
      </c>
      <c r="E37" s="15">
        <v>57.5</v>
      </c>
      <c r="F37" s="15">
        <v>346080025</v>
      </c>
    </row>
    <row r="38" spans="1:6" x14ac:dyDescent="0.3">
      <c r="A38" s="15">
        <v>13</v>
      </c>
      <c r="B38" s="15">
        <v>573012359</v>
      </c>
      <c r="C38" s="15">
        <v>0</v>
      </c>
      <c r="E38" s="15">
        <v>62.5</v>
      </c>
      <c r="F38" s="15">
        <v>347298577</v>
      </c>
    </row>
    <row r="39" spans="1:6" x14ac:dyDescent="0.3">
      <c r="A39" s="15">
        <v>14</v>
      </c>
      <c r="B39" s="15">
        <v>21674817.000000119</v>
      </c>
      <c r="C39" s="15">
        <v>-1.1920928955078125E-7</v>
      </c>
      <c r="E39" s="15">
        <v>67.5</v>
      </c>
      <c r="F39" s="15">
        <v>568806957</v>
      </c>
    </row>
    <row r="40" spans="1:6" x14ac:dyDescent="0.3">
      <c r="A40" s="15">
        <v>15</v>
      </c>
      <c r="B40" s="15">
        <v>12297191.000000119</v>
      </c>
      <c r="C40" s="15">
        <v>-1.1920928955078125E-7</v>
      </c>
      <c r="E40" s="15">
        <v>72.5</v>
      </c>
      <c r="F40" s="15">
        <v>573012359</v>
      </c>
    </row>
    <row r="41" spans="1:6" x14ac:dyDescent="0.3">
      <c r="A41" s="15">
        <v>16</v>
      </c>
      <c r="B41" s="15">
        <v>299000000</v>
      </c>
      <c r="C41" s="15">
        <v>0</v>
      </c>
      <c r="E41" s="15">
        <v>77.5</v>
      </c>
      <c r="F41" s="15">
        <v>584024485</v>
      </c>
    </row>
    <row r="42" spans="1:6" x14ac:dyDescent="0.3">
      <c r="A42" s="15">
        <v>17</v>
      </c>
      <c r="B42" s="15">
        <v>742213036</v>
      </c>
      <c r="C42" s="15">
        <v>0</v>
      </c>
      <c r="E42" s="15">
        <v>82.5</v>
      </c>
      <c r="F42" s="15">
        <v>629436184</v>
      </c>
    </row>
    <row r="43" spans="1:6" x14ac:dyDescent="0.3">
      <c r="A43" s="15">
        <v>18</v>
      </c>
      <c r="B43" s="15">
        <v>672828538</v>
      </c>
      <c r="C43" s="15">
        <v>0</v>
      </c>
      <c r="E43" s="15">
        <v>87.5</v>
      </c>
      <c r="F43" s="15">
        <v>672828538</v>
      </c>
    </row>
    <row r="44" spans="1:6" x14ac:dyDescent="0.3">
      <c r="A44" s="15">
        <v>19</v>
      </c>
      <c r="B44" s="15">
        <v>247501348.00000006</v>
      </c>
      <c r="C44" s="15">
        <v>-5.9604644775390625E-8</v>
      </c>
      <c r="E44" s="15">
        <v>92.5</v>
      </c>
      <c r="F44" s="15">
        <v>742213036</v>
      </c>
    </row>
    <row r="45" spans="1:6" ht="15" thickBot="1" x14ac:dyDescent="0.35">
      <c r="A45" s="16">
        <v>20</v>
      </c>
      <c r="B45" s="16">
        <v>347298577</v>
      </c>
      <c r="C45" s="16">
        <v>0</v>
      </c>
      <c r="E45" s="16">
        <v>97.5</v>
      </c>
      <c r="F45" s="16">
        <v>1635400000</v>
      </c>
    </row>
  </sheetData>
  <sortState xmlns:xlrd2="http://schemas.microsoft.com/office/spreadsheetml/2017/richdata2" ref="F26:F45">
    <sortCondition ref="F26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53"/>
  <sheetViews>
    <sheetView tabSelected="1" workbookViewId="0">
      <selection activeCell="G7" sqref="G7"/>
    </sheetView>
  </sheetViews>
  <sheetFormatPr defaultRowHeight="14.4" x14ac:dyDescent="0.3"/>
  <cols>
    <col min="2" max="2" width="38.88671875" bestFit="1" customWidth="1"/>
    <col min="3" max="3" width="14.109375" customWidth="1"/>
    <col min="4" max="4" width="16.109375" customWidth="1"/>
    <col min="5" max="5" width="16.6640625" customWidth="1"/>
  </cols>
  <sheetData>
    <row r="1" spans="2:12" ht="15" thickBot="1" x14ac:dyDescent="0.35"/>
    <row r="2" spans="2:12" x14ac:dyDescent="0.3">
      <c r="B2" s="6" t="s">
        <v>0</v>
      </c>
      <c r="C2" s="1" t="s">
        <v>20</v>
      </c>
      <c r="D2" s="9" t="s">
        <v>21</v>
      </c>
      <c r="E2" s="2" t="s">
        <v>22</v>
      </c>
      <c r="G2">
        <f>CORREL(C3:C22,E3:E22)</f>
        <v>0.27219623525430242</v>
      </c>
      <c r="I2" s="17"/>
      <c r="J2" s="17" t="s">
        <v>20</v>
      </c>
      <c r="K2" s="17" t="s">
        <v>21</v>
      </c>
      <c r="L2" s="17" t="s">
        <v>22</v>
      </c>
    </row>
    <row r="3" spans="2:12" x14ac:dyDescent="0.3">
      <c r="B3" s="7" t="s">
        <v>1</v>
      </c>
      <c r="C3" s="3">
        <v>258000000</v>
      </c>
      <c r="D3" s="10">
        <v>887436184</v>
      </c>
      <c r="E3" s="4">
        <f>D3-C3</f>
        <v>629436184</v>
      </c>
      <c r="I3" s="15" t="s">
        <v>20</v>
      </c>
      <c r="J3" s="15">
        <v>1</v>
      </c>
      <c r="K3" s="15"/>
      <c r="L3" s="15"/>
    </row>
    <row r="4" spans="2:12" x14ac:dyDescent="0.3">
      <c r="B4" s="7" t="s">
        <v>2</v>
      </c>
      <c r="C4" s="3">
        <v>207000000</v>
      </c>
      <c r="D4" s="10">
        <v>553080025</v>
      </c>
      <c r="E4" s="4">
        <f t="shared" ref="E4:E22" si="0">D4-C4</f>
        <v>346080025</v>
      </c>
      <c r="I4" s="15" t="s">
        <v>21</v>
      </c>
      <c r="J4" s="15">
        <v>0.3354331538185924</v>
      </c>
      <c r="K4" s="15">
        <v>1</v>
      </c>
      <c r="L4" s="15"/>
    </row>
    <row r="5" spans="2:12" ht="15" thickBot="1" x14ac:dyDescent="0.35">
      <c r="B5" s="7" t="s">
        <v>3</v>
      </c>
      <c r="C5" s="3">
        <v>204000000</v>
      </c>
      <c r="D5" s="10">
        <v>391081192</v>
      </c>
      <c r="E5" s="4">
        <f t="shared" si="0"/>
        <v>187081192</v>
      </c>
      <c r="I5" s="16" t="s">
        <v>22</v>
      </c>
      <c r="J5" s="16">
        <v>0.27219623525430242</v>
      </c>
      <c r="K5" s="16">
        <v>0.99779697522121302</v>
      </c>
      <c r="L5" s="16">
        <v>1</v>
      </c>
    </row>
    <row r="6" spans="2:12" x14ac:dyDescent="0.3">
      <c r="B6" s="7" t="s">
        <v>4</v>
      </c>
      <c r="C6" s="3">
        <v>200000000</v>
      </c>
      <c r="D6" s="10">
        <v>784024485</v>
      </c>
      <c r="E6" s="4">
        <f t="shared" si="0"/>
        <v>584024485</v>
      </c>
    </row>
    <row r="7" spans="2:12" x14ac:dyDescent="0.3">
      <c r="B7" s="7" t="s">
        <v>5</v>
      </c>
      <c r="C7" s="3">
        <v>200000000</v>
      </c>
      <c r="D7" s="10">
        <v>1835400000</v>
      </c>
      <c r="E7" s="4">
        <f t="shared" si="0"/>
        <v>1635400000</v>
      </c>
    </row>
    <row r="8" spans="2:12" x14ac:dyDescent="0.3">
      <c r="B8" s="7" t="s">
        <v>23</v>
      </c>
      <c r="C8" s="3">
        <v>180000000</v>
      </c>
      <c r="D8" s="10">
        <v>748806957</v>
      </c>
      <c r="E8" s="4">
        <f t="shared" si="0"/>
        <v>568806957</v>
      </c>
    </row>
    <row r="9" spans="2:12" x14ac:dyDescent="0.3">
      <c r="B9" s="7" t="s">
        <v>6</v>
      </c>
      <c r="C9" s="3">
        <v>175000000</v>
      </c>
      <c r="D9" s="10">
        <v>217700000</v>
      </c>
      <c r="E9" s="4">
        <f t="shared" si="0"/>
        <v>42700000</v>
      </c>
    </row>
    <row r="10" spans="2:12" x14ac:dyDescent="0.3">
      <c r="B10" s="7" t="s">
        <v>7</v>
      </c>
      <c r="C10" s="3">
        <v>175000000</v>
      </c>
      <c r="D10" s="10">
        <v>120698890</v>
      </c>
      <c r="E10" s="4">
        <f t="shared" si="0"/>
        <v>-54301110</v>
      </c>
      <c r="I10" t="s">
        <v>26</v>
      </c>
    </row>
    <row r="11" spans="2:12" ht="15" thickBot="1" x14ac:dyDescent="0.35">
      <c r="B11" s="7" t="s">
        <v>8</v>
      </c>
      <c r="C11" s="3">
        <v>175000000</v>
      </c>
      <c r="D11" s="10">
        <v>264246220</v>
      </c>
      <c r="E11" s="4">
        <f t="shared" si="0"/>
        <v>89246220</v>
      </c>
    </row>
    <row r="12" spans="2:12" x14ac:dyDescent="0.3">
      <c r="B12" s="7" t="s">
        <v>9</v>
      </c>
      <c r="C12" s="3">
        <v>170000000</v>
      </c>
      <c r="D12" s="10">
        <v>433058296</v>
      </c>
      <c r="E12" s="4">
        <f t="shared" si="0"/>
        <v>263058296</v>
      </c>
      <c r="I12" s="18" t="s">
        <v>27</v>
      </c>
      <c r="J12" s="18"/>
    </row>
    <row r="13" spans="2:12" x14ac:dyDescent="0.3">
      <c r="B13" s="7" t="s">
        <v>10</v>
      </c>
      <c r="C13" s="3">
        <v>170000000</v>
      </c>
      <c r="D13" s="10">
        <v>296596043</v>
      </c>
      <c r="E13" s="4">
        <f t="shared" si="0"/>
        <v>126596043</v>
      </c>
      <c r="I13" s="15" t="s">
        <v>28</v>
      </c>
      <c r="J13" s="15">
        <v>0.27219623525430225</v>
      </c>
    </row>
    <row r="14" spans="2:12" x14ac:dyDescent="0.3">
      <c r="B14" s="7" t="s">
        <v>11</v>
      </c>
      <c r="C14" s="3">
        <v>170000000</v>
      </c>
      <c r="D14" s="10">
        <v>300150546</v>
      </c>
      <c r="E14" s="4">
        <f t="shared" si="0"/>
        <v>130150546</v>
      </c>
      <c r="I14" s="15" t="s">
        <v>29</v>
      </c>
      <c r="J14" s="15">
        <v>7.4090790486615446E-2</v>
      </c>
    </row>
    <row r="15" spans="2:12" x14ac:dyDescent="0.3">
      <c r="B15" s="7" t="s">
        <v>12</v>
      </c>
      <c r="C15" s="3">
        <v>160000000</v>
      </c>
      <c r="D15" s="10">
        <v>733012359</v>
      </c>
      <c r="E15" s="4">
        <f t="shared" si="0"/>
        <v>573012359</v>
      </c>
      <c r="I15" s="15" t="s">
        <v>30</v>
      </c>
      <c r="J15" s="15">
        <v>2.2651389958094077E-2</v>
      </c>
    </row>
    <row r="16" spans="2:12" x14ac:dyDescent="0.3">
      <c r="B16" s="7" t="s">
        <v>13</v>
      </c>
      <c r="C16" s="3">
        <v>160000000</v>
      </c>
      <c r="D16" s="10">
        <v>181674817</v>
      </c>
      <c r="E16" s="4">
        <f t="shared" si="0"/>
        <v>21674817</v>
      </c>
      <c r="I16" s="15" t="s">
        <v>31</v>
      </c>
      <c r="J16" s="15">
        <v>381082014.19195873</v>
      </c>
    </row>
    <row r="17" spans="2:17" ht="15" thickBot="1" x14ac:dyDescent="0.35">
      <c r="B17" s="7" t="s">
        <v>14</v>
      </c>
      <c r="C17" s="3">
        <v>155000000</v>
      </c>
      <c r="D17" s="10">
        <v>167297191</v>
      </c>
      <c r="E17" s="4">
        <f t="shared" si="0"/>
        <v>12297191</v>
      </c>
      <c r="I17" s="16" t="s">
        <v>32</v>
      </c>
      <c r="J17" s="16">
        <v>20</v>
      </c>
    </row>
    <row r="18" spans="2:17" x14ac:dyDescent="0.3">
      <c r="B18" s="7" t="s">
        <v>15</v>
      </c>
      <c r="C18" s="3">
        <v>151500000</v>
      </c>
      <c r="D18" s="10">
        <v>450500000</v>
      </c>
      <c r="E18" s="4">
        <f t="shared" si="0"/>
        <v>299000000</v>
      </c>
    </row>
    <row r="19" spans="2:17" ht="15" thickBot="1" x14ac:dyDescent="0.35">
      <c r="B19" s="7" t="s">
        <v>16</v>
      </c>
      <c r="C19" s="3">
        <v>150000000</v>
      </c>
      <c r="D19" s="10">
        <v>892213036</v>
      </c>
      <c r="E19" s="4">
        <f t="shared" si="0"/>
        <v>742213036</v>
      </c>
      <c r="I19" t="s">
        <v>33</v>
      </c>
    </row>
    <row r="20" spans="2:17" x14ac:dyDescent="0.3">
      <c r="B20" s="7" t="s">
        <v>17</v>
      </c>
      <c r="C20" s="3">
        <v>150000000</v>
      </c>
      <c r="D20" s="10">
        <v>822828538</v>
      </c>
      <c r="E20" s="4">
        <f t="shared" si="0"/>
        <v>672828538</v>
      </c>
      <c r="I20" s="17"/>
      <c r="J20" s="17" t="s">
        <v>38</v>
      </c>
      <c r="K20" s="17" t="s">
        <v>39</v>
      </c>
      <c r="L20" s="17" t="s">
        <v>40</v>
      </c>
      <c r="M20" s="17" t="s">
        <v>41</v>
      </c>
      <c r="N20" s="17" t="s">
        <v>42</v>
      </c>
    </row>
    <row r="21" spans="2:17" x14ac:dyDescent="0.3">
      <c r="B21" s="7" t="s">
        <v>18</v>
      </c>
      <c r="C21" s="3">
        <v>150000000</v>
      </c>
      <c r="D21" s="10">
        <v>397501348</v>
      </c>
      <c r="E21" s="4">
        <f t="shared" si="0"/>
        <v>247501348</v>
      </c>
      <c r="I21" s="15" t="s">
        <v>34</v>
      </c>
      <c r="J21" s="15">
        <v>1</v>
      </c>
      <c r="K21" s="15">
        <v>2.091728114213033E+17</v>
      </c>
      <c r="L21" s="15">
        <v>2.091728114213033E+17</v>
      </c>
      <c r="M21" s="15">
        <v>1.4403509707609186</v>
      </c>
      <c r="N21" s="15">
        <v>0.24564041195285488</v>
      </c>
    </row>
    <row r="22" spans="2:17" x14ac:dyDescent="0.3">
      <c r="B22" s="8" t="s">
        <v>19</v>
      </c>
      <c r="C22" s="5">
        <v>150000000</v>
      </c>
      <c r="D22" s="11">
        <v>497298577</v>
      </c>
      <c r="E22" s="4">
        <f t="shared" si="0"/>
        <v>347298577</v>
      </c>
      <c r="I22" s="15" t="s">
        <v>35</v>
      </c>
      <c r="J22" s="15">
        <v>18</v>
      </c>
      <c r="K22" s="15">
        <v>2.6140230277308042E+18</v>
      </c>
      <c r="L22" s="15">
        <v>1.4522350154060022E+17</v>
      </c>
      <c r="M22" s="15"/>
      <c r="N22" s="15"/>
    </row>
    <row r="23" spans="2:17" ht="15" thickBot="1" x14ac:dyDescent="0.35">
      <c r="I23" s="16" t="s">
        <v>36</v>
      </c>
      <c r="J23" s="16">
        <v>19</v>
      </c>
      <c r="K23" s="16">
        <v>2.8231958391521075E+18</v>
      </c>
      <c r="L23" s="16"/>
      <c r="M23" s="16"/>
      <c r="N23" s="16"/>
    </row>
    <row r="24" spans="2:17" ht="15" thickBot="1" x14ac:dyDescent="0.35">
      <c r="D24" s="12" t="s">
        <v>24</v>
      </c>
      <c r="E24" s="14">
        <f>MAX(E3:E22)</f>
        <v>1635400000</v>
      </c>
    </row>
    <row r="25" spans="2:17" x14ac:dyDescent="0.3">
      <c r="D25" s="13" t="s">
        <v>25</v>
      </c>
      <c r="E25" s="14">
        <f>MIN(E3:E22)</f>
        <v>-54301110</v>
      </c>
      <c r="I25" s="17"/>
      <c r="J25" s="17" t="s">
        <v>43</v>
      </c>
      <c r="K25" s="17" t="s">
        <v>31</v>
      </c>
      <c r="L25" s="17" t="s">
        <v>44</v>
      </c>
      <c r="M25" s="17" t="s">
        <v>45</v>
      </c>
      <c r="N25" s="17" t="s">
        <v>46</v>
      </c>
      <c r="O25" s="17" t="s">
        <v>47</v>
      </c>
      <c r="P25" s="17" t="s">
        <v>48</v>
      </c>
      <c r="Q25" s="17" t="s">
        <v>49</v>
      </c>
    </row>
    <row r="26" spans="2:17" x14ac:dyDescent="0.3">
      <c r="I26" s="15" t="s">
        <v>37</v>
      </c>
      <c r="J26" s="15">
        <v>-305242101.56427461</v>
      </c>
      <c r="K26" s="15">
        <v>571690185.17972481</v>
      </c>
      <c r="L26" s="15">
        <v>-0.53392923208628162</v>
      </c>
      <c r="M26" s="15">
        <v>0.59992308363883573</v>
      </c>
      <c r="N26" s="15">
        <v>-1506318611.7978387</v>
      </c>
      <c r="O26" s="15">
        <v>895834408.66928959</v>
      </c>
      <c r="P26" s="15">
        <v>-1506318611.7978387</v>
      </c>
      <c r="Q26" s="15">
        <v>895834408.66928959</v>
      </c>
    </row>
    <row r="27" spans="2:17" ht="15" thickBot="1" x14ac:dyDescent="0.35">
      <c r="I27" s="16" t="s">
        <v>20</v>
      </c>
      <c r="J27" s="16">
        <v>3.8652461858098541</v>
      </c>
      <c r="K27" s="16">
        <v>3.2206460285496825</v>
      </c>
      <c r="L27" s="16">
        <v>1.2001462289075111</v>
      </c>
      <c r="M27" s="16">
        <v>0.24564041195285446</v>
      </c>
      <c r="N27" s="16">
        <v>-2.9010800393849405</v>
      </c>
      <c r="O27" s="16">
        <v>10.631572411004649</v>
      </c>
      <c r="P27" s="16">
        <v>-2.9010800393849405</v>
      </c>
      <c r="Q27" s="16">
        <v>10.631572411004649</v>
      </c>
    </row>
    <row r="31" spans="2:17" x14ac:dyDescent="0.3">
      <c r="I31" t="s">
        <v>50</v>
      </c>
      <c r="M31" t="s">
        <v>54</v>
      </c>
    </row>
    <row r="32" spans="2:17" ht="15" thickBot="1" x14ac:dyDescent="0.35"/>
    <row r="33" spans="9:14" x14ac:dyDescent="0.3">
      <c r="I33" s="17" t="s">
        <v>51</v>
      </c>
      <c r="J33" s="17" t="s">
        <v>52</v>
      </c>
      <c r="K33" s="17" t="s">
        <v>53</v>
      </c>
      <c r="M33" s="17" t="s">
        <v>55</v>
      </c>
      <c r="N33" s="17" t="s">
        <v>22</v>
      </c>
    </row>
    <row r="34" spans="9:14" x14ac:dyDescent="0.3">
      <c r="I34" s="15">
        <v>1</v>
      </c>
      <c r="J34" s="15">
        <v>691991414.37466764</v>
      </c>
      <c r="K34" s="15">
        <v>-62555230.374667645</v>
      </c>
      <c r="M34" s="15">
        <v>2.5</v>
      </c>
      <c r="N34" s="15">
        <v>-54301110</v>
      </c>
    </row>
    <row r="35" spans="9:14" x14ac:dyDescent="0.3">
      <c r="I35" s="15">
        <v>2</v>
      </c>
      <c r="J35" s="15">
        <v>494863858.8983652</v>
      </c>
      <c r="K35" s="15">
        <v>-148783833.8983652</v>
      </c>
      <c r="M35" s="15">
        <v>7.5</v>
      </c>
      <c r="N35" s="15">
        <v>12297191</v>
      </c>
    </row>
    <row r="36" spans="9:14" x14ac:dyDescent="0.3">
      <c r="I36" s="15">
        <v>3</v>
      </c>
      <c r="J36" s="15">
        <v>483268120.34093565</v>
      </c>
      <c r="K36" s="15">
        <v>-296186928.34093565</v>
      </c>
      <c r="M36" s="15">
        <v>12.5</v>
      </c>
      <c r="N36" s="15">
        <v>21674817</v>
      </c>
    </row>
    <row r="37" spans="9:14" x14ac:dyDescent="0.3">
      <c r="I37" s="15">
        <v>4</v>
      </c>
      <c r="J37" s="15">
        <v>467807135.59769624</v>
      </c>
      <c r="K37" s="15">
        <v>116217349.40230376</v>
      </c>
      <c r="M37" s="15">
        <v>17.5</v>
      </c>
      <c r="N37" s="15">
        <v>42700000</v>
      </c>
    </row>
    <row r="38" spans="9:14" x14ac:dyDescent="0.3">
      <c r="I38" s="15">
        <v>5</v>
      </c>
      <c r="J38" s="15">
        <v>467807135.59769624</v>
      </c>
      <c r="K38" s="15">
        <v>1167592864.4023037</v>
      </c>
      <c r="M38" s="15">
        <v>22.5</v>
      </c>
      <c r="N38" s="15">
        <v>89246220</v>
      </c>
    </row>
    <row r="39" spans="9:14" x14ac:dyDescent="0.3">
      <c r="I39" s="15">
        <v>6</v>
      </c>
      <c r="J39" s="15">
        <v>390502211.88149911</v>
      </c>
      <c r="K39" s="15">
        <v>178304745.11850089</v>
      </c>
      <c r="M39" s="15">
        <v>27.5</v>
      </c>
      <c r="N39" s="15">
        <v>126596043</v>
      </c>
    </row>
    <row r="40" spans="9:14" x14ac:dyDescent="0.3">
      <c r="I40" s="15">
        <v>7</v>
      </c>
      <c r="J40" s="15">
        <v>371175980.95244986</v>
      </c>
      <c r="K40" s="15">
        <v>-328475980.95244986</v>
      </c>
      <c r="M40" s="15">
        <v>32.5</v>
      </c>
      <c r="N40" s="15">
        <v>130150546</v>
      </c>
    </row>
    <row r="41" spans="9:14" x14ac:dyDescent="0.3">
      <c r="I41" s="15">
        <v>8</v>
      </c>
      <c r="J41" s="15">
        <v>371175980.95244986</v>
      </c>
      <c r="K41" s="15">
        <v>-425477090.95244986</v>
      </c>
      <c r="M41" s="15">
        <v>37.5</v>
      </c>
      <c r="N41" s="15">
        <v>187081192</v>
      </c>
    </row>
    <row r="42" spans="9:14" x14ac:dyDescent="0.3">
      <c r="I42" s="15">
        <v>9</v>
      </c>
      <c r="J42" s="15">
        <v>371175980.95244986</v>
      </c>
      <c r="K42" s="15">
        <v>-281929760.95244986</v>
      </c>
      <c r="M42" s="15">
        <v>42.5</v>
      </c>
      <c r="N42" s="15">
        <v>247501348</v>
      </c>
    </row>
    <row r="43" spans="9:14" x14ac:dyDescent="0.3">
      <c r="I43" s="15">
        <v>10</v>
      </c>
      <c r="J43" s="15">
        <v>351849750.0234006</v>
      </c>
      <c r="K43" s="15">
        <v>-88791454.023400605</v>
      </c>
      <c r="M43" s="15">
        <v>47.5</v>
      </c>
      <c r="N43" s="15">
        <v>263058296</v>
      </c>
    </row>
    <row r="44" spans="9:14" x14ac:dyDescent="0.3">
      <c r="I44" s="15">
        <v>11</v>
      </c>
      <c r="J44" s="15">
        <v>351849750.0234006</v>
      </c>
      <c r="K44" s="15">
        <v>-225253707.0234006</v>
      </c>
      <c r="M44" s="15">
        <v>52.5</v>
      </c>
      <c r="N44" s="15">
        <v>299000000</v>
      </c>
    </row>
    <row r="45" spans="9:14" x14ac:dyDescent="0.3">
      <c r="I45" s="15">
        <v>12</v>
      </c>
      <c r="J45" s="15">
        <v>351849750.0234006</v>
      </c>
      <c r="K45" s="15">
        <v>-221699204.0234006</v>
      </c>
      <c r="M45" s="15">
        <v>57.5</v>
      </c>
      <c r="N45" s="15">
        <v>346080025</v>
      </c>
    </row>
    <row r="46" spans="9:14" x14ac:dyDescent="0.3">
      <c r="I46" s="15">
        <v>13</v>
      </c>
      <c r="J46" s="15">
        <v>313197288.1653021</v>
      </c>
      <c r="K46" s="15">
        <v>259815070.8346979</v>
      </c>
      <c r="M46" s="15">
        <v>62.5</v>
      </c>
      <c r="N46" s="15">
        <v>347298577</v>
      </c>
    </row>
    <row r="47" spans="9:14" x14ac:dyDescent="0.3">
      <c r="I47" s="15">
        <v>14</v>
      </c>
      <c r="J47" s="15">
        <v>313197288.1653021</v>
      </c>
      <c r="K47" s="15">
        <v>-291522471.1653021</v>
      </c>
      <c r="M47" s="15">
        <v>67.5</v>
      </c>
      <c r="N47" s="15">
        <v>568806957</v>
      </c>
    </row>
    <row r="48" spans="9:14" x14ac:dyDescent="0.3">
      <c r="I48" s="15">
        <v>15</v>
      </c>
      <c r="J48" s="15">
        <v>293871057.23625273</v>
      </c>
      <c r="K48" s="15">
        <v>-281573866.23625273</v>
      </c>
      <c r="M48" s="15">
        <v>72.5</v>
      </c>
      <c r="N48" s="15">
        <v>573012359</v>
      </c>
    </row>
    <row r="49" spans="9:14" x14ac:dyDescent="0.3">
      <c r="I49" s="15">
        <v>16</v>
      </c>
      <c r="J49" s="15">
        <v>280342695.58591825</v>
      </c>
      <c r="K49" s="15">
        <v>18657304.414081752</v>
      </c>
      <c r="M49" s="15">
        <v>77.5</v>
      </c>
      <c r="N49" s="15">
        <v>584024485</v>
      </c>
    </row>
    <row r="50" spans="9:14" x14ac:dyDescent="0.3">
      <c r="I50" s="15">
        <v>17</v>
      </c>
      <c r="J50" s="15">
        <v>274544826.30720347</v>
      </c>
      <c r="K50" s="15">
        <v>467668209.69279653</v>
      </c>
      <c r="M50" s="15">
        <v>82.5</v>
      </c>
      <c r="N50" s="15">
        <v>629436184</v>
      </c>
    </row>
    <row r="51" spans="9:14" x14ac:dyDescent="0.3">
      <c r="I51" s="15">
        <v>18</v>
      </c>
      <c r="J51" s="15">
        <v>274544826.30720347</v>
      </c>
      <c r="K51" s="15">
        <v>398283711.69279653</v>
      </c>
      <c r="M51" s="15">
        <v>87.5</v>
      </c>
      <c r="N51" s="15">
        <v>672828538</v>
      </c>
    </row>
    <row r="52" spans="9:14" x14ac:dyDescent="0.3">
      <c r="I52" s="15">
        <v>19</v>
      </c>
      <c r="J52" s="15">
        <v>274544826.30720347</v>
      </c>
      <c r="K52" s="15">
        <v>-27043478.307203472</v>
      </c>
      <c r="M52" s="15">
        <v>92.5</v>
      </c>
      <c r="N52" s="15">
        <v>742213036</v>
      </c>
    </row>
    <row r="53" spans="9:14" ht="15" thickBot="1" x14ac:dyDescent="0.35">
      <c r="I53" s="16">
        <v>20</v>
      </c>
      <c r="J53" s="16">
        <v>274544826.30720347</v>
      </c>
      <c r="K53" s="16">
        <v>72753750.692796528</v>
      </c>
      <c r="M53" s="16">
        <v>97.5</v>
      </c>
      <c r="N53" s="16">
        <v>1635400000</v>
      </c>
    </row>
  </sheetData>
  <sortState xmlns:xlrd2="http://schemas.microsoft.com/office/spreadsheetml/2017/richdata2" ref="N34:N53">
    <sortCondition ref="N3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Sheet1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Nirasha Nichang</cp:lastModifiedBy>
  <dcterms:created xsi:type="dcterms:W3CDTF">2007-08-15T09:52:15Z</dcterms:created>
  <dcterms:modified xsi:type="dcterms:W3CDTF">2026-01-18T13:05:49Z</dcterms:modified>
</cp:coreProperties>
</file>