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L7 Data Analysis in Excel Part 1\"/>
    </mc:Choice>
  </mc:AlternateContent>
  <xr:revisionPtr revIDLastSave="0" documentId="13_ncr:1_{801979C8-C86E-4819-B3C0-CCF31976BE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Sheet1!$A$3:$F$23</definedName>
    <definedName name="Centre">Sheet1!$H$4:$N$5</definedName>
    <definedName name="Exams">Sheet1!$A$4:$F$23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sharedStrings.xml><?xml version="1.0" encoding="utf-8"?>
<sst xmlns="http://schemas.openxmlformats.org/spreadsheetml/2006/main" count="83" uniqueCount="52">
  <si>
    <t>ABRSM Examinations</t>
  </si>
  <si>
    <t>Student Name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</si>
  <si>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</si>
  <si>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</si>
  <si>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</si>
  <si>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</si>
  <si>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</si>
  <si>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</si>
  <si>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</si>
  <si>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</si>
  <si>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</si>
  <si>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</si>
  <si>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</si>
  <si>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</si>
  <si>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</si>
  <si>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</si>
  <si>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</si>
  <si>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</si>
  <si>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</si>
  <si>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</si>
  <si>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</si>
  <si>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</si>
  <si>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</si>
  <si>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</si>
  <si>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</si>
  <si>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</si>
  <si>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</si>
  <si>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</si>
  <si>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</si>
  <si>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Petunia LL Harper-Whitely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</si>
  <si>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</si>
  <si>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</si>
  <si>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</si>
  <si>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</si>
  <si>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</si>
  <si>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</si>
  <si>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</si>
  <si>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</si>
  <si>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</si>
  <si>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</si>
  <si>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</si>
  <si>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</si>
  <si>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</si>
  <si>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</si>
  <si>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</si>
  <si>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Pupil Name:</t>
  </si>
  <si>
    <t>Instrument:</t>
  </si>
  <si>
    <t>Grade:</t>
  </si>
  <si>
    <t>Centre:</t>
  </si>
  <si>
    <t>Date:</t>
  </si>
  <si>
    <t>Time:</t>
  </si>
  <si>
    <t>&lt;--- Change Name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</si>
</sst>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3" workbookViewId="0">
      <selection activeCell="I23" sqref="I23"/>
    </sheetView>
  </sheetViews>
  <sheetFormatPr defaultRowHeight="14.4" x14ac:dyDescent="0.3"/>
  <cols>
    <col min="1" max="1" width="22.5546875" bestFit="1" customWidth="1"/>
    <col min="2" max="2" width="11" bestFit="1" customWidth="1"/>
    <col min="3" max="3" width="9.21875" style="1"/>
    <col min="4" max="4" width="10.6640625" style="1" bestFit="1" customWidth="1"/>
    <col min="5" max="5" width="10.33203125" style="1" bestFit="1" customWidth="1"/>
    <col min="6" max="6" width="9.21875" style="1"/>
    <col min="7" max="7" width="3" customWidth="1"/>
    <col min="8" max="8" width="9.109375" bestFit="1" customWidth="1"/>
    <col min="9" max="9" width="8.77734375" bestFit="1" customWidth="1"/>
    <col min="10" max="10" width="8.77734375" customWidth="1"/>
    <col min="11" max="11" width="8.77734375" bestFit="1" customWidth="1"/>
    <col min="12" max="12" width="8.88671875" bestFit="1" customWidth="1"/>
    <col min="13" max="14" width="8.77734375" bestFit="1" customWidth="1"/>
  </cols>
  <sheetData>
    <row r="1" spans="1:14" ht="21" x14ac:dyDescent="0.4">
      <c r="A1" s="13" t="s">
        <v>0</v>
      </c>
    </row>
    <row r="3" spans="1:14" x14ac:dyDescent="0.3">
      <c r="A3" s="11" t="s">
        <v>1</v>
      </c>
      <c r="B3" s="11" t="s">
        <v>12</v>
      </c>
      <c r="C3" s="12" t="s">
        <v>13</v>
      </c>
      <c r="D3" s="12" t="s">
        <v>14</v>
      </c>
      <c r="E3" s="12" t="s">
        <v>15</v>
      </c>
      <c r="F3" s="12" t="s">
        <v>16</v>
      </c>
    </row>
    <row r="4" spans="1:14" x14ac:dyDescent="0.3">
      <c r="A4" s="2" t="s">
        <v>2</v>
      </c>
      <c r="B4" s="2" t="s">
        <v>17</v>
      </c>
      <c r="C4" s="8">
        <v>6</v>
      </c>
      <c r="D4" s="8" t="s">
        <v>24</v>
      </c>
      <c r="E4" s="9">
        <f>HLOOKUP(D4,Centre,2,0)</f>
        <v>45086</v>
      </c>
      <c r="F4" s="10">
        <v>0.4375</v>
      </c>
      <c r="H4" s="6" t="s">
        <v>28</v>
      </c>
      <c r="I4" s="6" t="s">
        <v>25</v>
      </c>
      <c r="J4" s="6" t="s">
        <v>27</v>
      </c>
      <c r="K4" s="6" t="s">
        <v>23</v>
      </c>
      <c r="L4" s="6" t="s">
        <v>22</v>
      </c>
      <c r="M4" s="6" t="s">
        <v>26</v>
      </c>
      <c r="N4" s="6" t="s">
        <v>24</v>
      </c>
    </row>
    <row r="5" spans="1:14" x14ac:dyDescent="0.3">
      <c r="A5" s="2" t="s">
        <v>31</v>
      </c>
      <c r="B5" s="2" t="s">
        <v>18</v>
      </c>
      <c r="C5" s="8">
        <v>2</v>
      </c>
      <c r="D5" s="8" t="s">
        <v>23</v>
      </c>
      <c r="E5" s="9">
        <f>HLOOKUP(D5,Centre,2,0)</f>
        <v>45092</v>
      </c>
      <c r="F5" s="10">
        <v>0.41666666666666669</v>
      </c>
      <c r="H5" s="6" t="s">
        <v>15</v>
      </c>
      <c r="I5" s="7">
        <v>45090</v>
      </c>
      <c r="J5" s="7">
        <v>45083</v>
      </c>
      <c r="K5" s="7">
        <v>45092</v>
      </c>
      <c r="L5" s="7">
        <v>45088</v>
      </c>
      <c r="M5" s="7">
        <v>45091</v>
      </c>
      <c r="N5" s="7">
        <v>45086</v>
      </c>
    </row>
    <row r="6" spans="1:14" x14ac:dyDescent="0.3">
      <c r="A6" s="2" t="s">
        <v>3</v>
      </c>
      <c r="B6" s="2" t="s">
        <v>41</v>
      </c>
      <c r="C6" s="8">
        <v>2</v>
      </c>
      <c r="D6" s="8" t="s">
        <v>22</v>
      </c>
      <c r="E6" s="9">
        <f>HLOOKUP(D6,Centre,2,0)</f>
        <v>45088</v>
      </c>
      <c r="F6" s="10">
        <v>0.58333333333333337</v>
      </c>
    </row>
    <row r="7" spans="1:14" x14ac:dyDescent="0.3">
      <c r="A7" s="2" t="s">
        <v>4</v>
      </c>
      <c r="B7" s="2" t="s">
        <v>19</v>
      </c>
      <c r="C7" s="8">
        <v>3</v>
      </c>
      <c r="D7" s="8" t="s">
        <v>23</v>
      </c>
      <c r="E7" s="9">
        <f>HLOOKUP(D7,Centre,2,0)</f>
        <v>45092</v>
      </c>
      <c r="F7" s="10">
        <v>0.4375</v>
      </c>
    </row>
    <row r="8" spans="1:14" x14ac:dyDescent="0.3">
      <c r="A8" s="2" t="s">
        <v>5</v>
      </c>
      <c r="B8" s="2" t="s">
        <v>20</v>
      </c>
      <c r="C8" s="8">
        <v>5</v>
      </c>
      <c r="D8" s="8" t="s">
        <v>25</v>
      </c>
      <c r="E8" s="9">
        <f>HLOOKUP(D8,Centre,2,0)</f>
        <v>45090</v>
      </c>
      <c r="F8" s="10">
        <v>0.41666666666666669</v>
      </c>
    </row>
    <row r="9" spans="1:14" x14ac:dyDescent="0.3">
      <c r="A9" s="2" t="s">
        <v>36</v>
      </c>
      <c r="B9" s="2" t="s">
        <v>18</v>
      </c>
      <c r="C9" s="8">
        <v>7</v>
      </c>
      <c r="D9" s="8" t="s">
        <v>26</v>
      </c>
      <c r="E9" s="9">
        <f>HLOOKUP(D9,Centre,2,0)</f>
        <v>45091</v>
      </c>
      <c r="F9" s="10">
        <v>0.45833333333333331</v>
      </c>
    </row>
    <row r="10" spans="1:14" x14ac:dyDescent="0.3">
      <c r="A10" s="2" t="s">
        <v>6</v>
      </c>
      <c r="B10" s="2" t="s">
        <v>21</v>
      </c>
      <c r="C10" s="8">
        <v>8</v>
      </c>
      <c r="D10" s="8" t="s">
        <v>24</v>
      </c>
      <c r="E10" s="9">
        <f>HLOOKUP(D10,Centre,2,0)</f>
        <v>45086</v>
      </c>
      <c r="F10" s="10">
        <v>0.47916666666666669</v>
      </c>
    </row>
    <row r="11" spans="1:14" x14ac:dyDescent="0.3">
      <c r="A11" s="2" t="s">
        <v>7</v>
      </c>
      <c r="B11" s="2" t="s">
        <v>17</v>
      </c>
      <c r="C11" s="8">
        <v>1</v>
      </c>
      <c r="D11" s="8" t="s">
        <v>23</v>
      </c>
      <c r="E11" s="9">
        <f>HLOOKUP(D11,Centre,2,0)</f>
        <v>45092</v>
      </c>
      <c r="F11" s="10">
        <v>0.47916666666666669</v>
      </c>
    </row>
    <row r="12" spans="1:14" x14ac:dyDescent="0.3">
      <c r="A12" s="2" t="s">
        <v>8</v>
      </c>
      <c r="B12" s="2" t="s">
        <v>18</v>
      </c>
      <c r="C12" s="8">
        <v>4</v>
      </c>
      <c r="D12" s="8" t="s">
        <v>23</v>
      </c>
      <c r="E12" s="9">
        <f>HLOOKUP(D12,Centre,2,0)</f>
        <v>45092</v>
      </c>
      <c r="F12" s="10">
        <v>0.52083333333333337</v>
      </c>
    </row>
    <row r="13" spans="1:14" x14ac:dyDescent="0.3">
      <c r="A13" s="2" t="s">
        <v>9</v>
      </c>
      <c r="B13" s="2" t="s">
        <v>41</v>
      </c>
      <c r="C13" s="8">
        <v>5</v>
      </c>
      <c r="D13" s="8" t="s">
        <v>27</v>
      </c>
      <c r="E13" s="9">
        <f>HLOOKUP(D13,Centre,2,0)</f>
        <v>45083</v>
      </c>
      <c r="F13" s="10">
        <v>0.58333333333333337</v>
      </c>
    </row>
    <row r="14" spans="1:14" x14ac:dyDescent="0.3">
      <c r="A14" s="2" t="s">
        <v>10</v>
      </c>
      <c r="B14" s="2" t="s">
        <v>20</v>
      </c>
      <c r="C14" s="8">
        <v>6</v>
      </c>
      <c r="D14" s="8" t="s">
        <v>25</v>
      </c>
      <c r="E14" s="9">
        <f>HLOOKUP(D14,Centre,2,0)</f>
        <v>45090</v>
      </c>
      <c r="F14" s="10">
        <v>0.44444444444444442</v>
      </c>
    </row>
    <row r="15" spans="1:14" x14ac:dyDescent="0.3">
      <c r="A15" s="2" t="s">
        <v>11</v>
      </c>
      <c r="B15" s="2" t="s">
        <v>43</v>
      </c>
      <c r="C15" s="8">
        <v>2</v>
      </c>
      <c r="D15" s="8" t="s">
        <v>26</v>
      </c>
      <c r="E15" s="9">
        <f>HLOOKUP(D15,Centre,2,0)</f>
        <v>45091</v>
      </c>
      <c r="F15" s="10">
        <v>0.5</v>
      </c>
    </row>
    <row r="16" spans="1:14" x14ac:dyDescent="0.3">
      <c r="A16" s="2" t="s">
        <v>29</v>
      </c>
      <c r="B16" s="2" t="s">
        <v>30</v>
      </c>
      <c r="C16" s="8">
        <v>6</v>
      </c>
      <c r="D16" s="8" t="s">
        <v>26</v>
      </c>
      <c r="E16" s="9">
        <f>HLOOKUP(D16,Centre,2,0)</f>
        <v>45091</v>
      </c>
      <c r="F16" s="10">
        <v>0.60416666666666663</v>
      </c>
    </row>
    <row r="17" spans="1:6" x14ac:dyDescent="0.3">
      <c r="A17" s="2" t="s">
        <v>32</v>
      </c>
      <c r="B17" s="2" t="s">
        <v>33</v>
      </c>
      <c r="C17" s="8">
        <v>4</v>
      </c>
      <c r="D17" s="8" t="s">
        <v>27</v>
      </c>
      <c r="E17" s="9">
        <f>HLOOKUP(D17,Centre,2,0)</f>
        <v>45083</v>
      </c>
      <c r="F17" s="10">
        <v>0.61111111111111105</v>
      </c>
    </row>
    <row r="18" spans="1:6" x14ac:dyDescent="0.3">
      <c r="A18" s="2" t="s">
        <v>34</v>
      </c>
      <c r="B18" s="2" t="s">
        <v>35</v>
      </c>
      <c r="C18" s="8">
        <v>6</v>
      </c>
      <c r="D18" s="8" t="s">
        <v>24</v>
      </c>
      <c r="E18" s="9">
        <f>HLOOKUP(D18,Centre,2,0)</f>
        <v>45086</v>
      </c>
      <c r="F18" s="10">
        <v>0.58333333333333337</v>
      </c>
    </row>
    <row r="19" spans="1:6" x14ac:dyDescent="0.3">
      <c r="A19" s="2" t="s">
        <v>37</v>
      </c>
      <c r="B19" s="2" t="s">
        <v>38</v>
      </c>
      <c r="C19" s="8">
        <v>8</v>
      </c>
      <c r="D19" s="8" t="s">
        <v>25</v>
      </c>
      <c r="E19" s="9">
        <f>HLOOKUP(D19,Centre,2,0)</f>
        <v>45090</v>
      </c>
      <c r="F19" s="10">
        <v>0.47222222222222227</v>
      </c>
    </row>
    <row r="20" spans="1:6" x14ac:dyDescent="0.3">
      <c r="A20" s="2" t="s">
        <v>39</v>
      </c>
      <c r="B20" s="2" t="s">
        <v>19</v>
      </c>
      <c r="C20" s="8">
        <v>3</v>
      </c>
      <c r="D20" s="8" t="s">
        <v>22</v>
      </c>
      <c r="E20" s="9">
        <f>HLOOKUP(D20,Centre,2,0)</f>
        <v>45088</v>
      </c>
      <c r="F20" s="10">
        <v>0.60416666666666663</v>
      </c>
    </row>
    <row r="21" spans="1:6" x14ac:dyDescent="0.3">
      <c r="A21" s="2" t="s">
        <v>40</v>
      </c>
      <c r="B21" s="2" t="s">
        <v>41</v>
      </c>
      <c r="C21" s="8">
        <v>6</v>
      </c>
      <c r="D21" s="8" t="s">
        <v>22</v>
      </c>
      <c r="E21" s="9">
        <f>HLOOKUP(D21,Centre,2,0)</f>
        <v>45088</v>
      </c>
      <c r="F21" s="10">
        <v>0.63888888888888895</v>
      </c>
    </row>
    <row r="22" spans="1:6" x14ac:dyDescent="0.3">
      <c r="A22" s="2" t="s">
        <v>42</v>
      </c>
      <c r="B22" s="2" t="s">
        <v>43</v>
      </c>
      <c r="C22" s="8">
        <v>8</v>
      </c>
      <c r="D22" s="8" t="s">
        <v>24</v>
      </c>
      <c r="E22" s="9">
        <f>HLOOKUP(D22,Centre,2,0)</f>
        <v>45086</v>
      </c>
      <c r="F22" s="10">
        <v>0.625</v>
      </c>
    </row>
    <row r="23" spans="1:6" x14ac:dyDescent="0.3">
      <c r="A23" s="2" t="s">
        <v>44</v>
      </c>
      <c r="B23" s="2" t="s">
        <v>19</v>
      </c>
      <c r="C23" s="8">
        <v>5</v>
      </c>
      <c r="D23" s="8" t="s">
        <v>23</v>
      </c>
      <c r="E23" s="9">
        <f>HLOOKUP(D23,Centre,2,0)</f>
        <v>45092</v>
      </c>
      <c r="F23" s="10">
        <v>0.60416666666666663</v>
      </c>
    </row>
    <row r="26" spans="1:6" x14ac:dyDescent="0.3">
      <c r="A26" s="4" t="s">
        <v>45</v>
      </c>
      <c r="B26" s="3" t="s">
        <v>29</v>
      </c>
      <c r="C26" s="5" t="s">
        <v>51</v>
      </c>
    </row>
    <row r="27" spans="1:6" x14ac:dyDescent="0.3">
      <c r="A27" s="4" t="s">
        <v>46</v>
      </c>
      <c r="B27" s="3" t="str">
        <f>VLOOKUP(B26,Exams,2,0)</f>
        <v>Harp</v>
      </c>
      <c r="C27"/>
    </row>
    <row r="28" spans="1:6" x14ac:dyDescent="0.3">
      <c r="A28" s="4" t="s">
        <v>47</v>
      </c>
      <c r="B28" s="3">
        <f>VLOOKUP(B26,Exams,3,0)</f>
        <v>6</v>
      </c>
      <c r="C28"/>
    </row>
    <row r="29" spans="1:6" x14ac:dyDescent="0.3">
      <c r="A29" s="4" t="s">
        <v>48</v>
      </c>
      <c r="B29" s="3" t="str">
        <f>VLOOKUP(B26,Exams,4,0)</f>
        <v>Oxford</v>
      </c>
      <c r="C29"/>
    </row>
    <row r="30" spans="1:6" x14ac:dyDescent="0.3">
      <c r="A30" s="4" t="s">
        <v>49</v>
      </c>
      <c r="B30" s="14" t="str">
        <f>TEXT(VLOOKUP(B26, Exams, 5, 0), "mm/dd/yyyy")</f>
        <v>06/14/2023</v>
      </c>
      <c r="C30"/>
    </row>
    <row r="31" spans="1:6" x14ac:dyDescent="0.3">
      <c r="A31" s="4" t="s">
        <v>50</v>
      </c>
      <c r="B31" s="3" t="str">
        <f>TEXT(VLOOKUP(B26, Exams, 6, 0), "hh:mm")</f>
        <v>14:30</v>
      </c>
      <c r="C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Centre</vt:lpstr>
      <vt:lpstr>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2018-03-18T16:01:44Z</dcterms:created>
  <dcterms:modified xsi:type="dcterms:W3CDTF">2026-01-17T12:59:09Z</dcterms:modified>
</cp:coreProperties>
</file>